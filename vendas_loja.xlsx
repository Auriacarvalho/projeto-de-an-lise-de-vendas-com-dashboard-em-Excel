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e1b1d2b6b5a8486/Desktop/Projetos/analise-performance-marketing/analise-vendas-varejo/"/>
    </mc:Choice>
  </mc:AlternateContent>
  <xr:revisionPtr revIDLastSave="2" documentId="14_{ED987082-4625-446B-83B3-76F1F00AA630}" xr6:coauthVersionLast="47" xr6:coauthVersionMax="47" xr10:uidLastSave="{33AF2299-8AE2-43B8-BDA3-A4EFDB30349C}"/>
  <bookViews>
    <workbookView xWindow="-120" yWindow="-120" windowWidth="29040" windowHeight="15840" xr2:uid="{00000000-000D-0000-FFFF-FFFF00000000}"/>
  </bookViews>
  <sheets>
    <sheet name="dados_vendas" sheetId="1" r:id="rId1"/>
    <sheet name="ANALISE DE DADOS" sheetId="4" r:id="rId2"/>
    <sheet name="DASHBORD" sheetId="3" r:id="rId3"/>
  </sheets>
  <definedNames>
    <definedName name="SegmentaçãodeDados_regia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" l="1"/>
  <c r="A3" i="4"/>
  <c r="F302" i="1"/>
  <c r="G302" i="1"/>
  <c r="H302" i="1"/>
</calcChain>
</file>

<file path=xl/sharedStrings.xml><?xml version="1.0" encoding="utf-8"?>
<sst xmlns="http://schemas.openxmlformats.org/spreadsheetml/2006/main" count="1242" uniqueCount="239">
  <si>
    <t>pedido_id</t>
  </si>
  <si>
    <t>data</t>
  </si>
  <si>
    <t>produto</t>
  </si>
  <si>
    <t>categoria</t>
  </si>
  <si>
    <t>quantidade</t>
  </si>
  <si>
    <t>preco_unitario</t>
  </si>
  <si>
    <t>valor_total</t>
  </si>
  <si>
    <t>regiao</t>
  </si>
  <si>
    <t>2025-01-13</t>
  </si>
  <si>
    <t>SSD</t>
  </si>
  <si>
    <t>Armazenamento</t>
  </si>
  <si>
    <t>Sudeste</t>
  </si>
  <si>
    <t>2025-11-08</t>
  </si>
  <si>
    <t>Cadeira Gamer</t>
  </si>
  <si>
    <t>Móveis</t>
  </si>
  <si>
    <t>Sul</t>
  </si>
  <si>
    <t>2025-04-21</t>
  </si>
  <si>
    <t>2025-03-22</t>
  </si>
  <si>
    <t>Nordeste</t>
  </si>
  <si>
    <t>2025-10-14</t>
  </si>
  <si>
    <t>Notebook</t>
  </si>
  <si>
    <t>Eletrônicos</t>
  </si>
  <si>
    <t>Centro-Oeste</t>
  </si>
  <si>
    <t>2025-03-20</t>
  </si>
  <si>
    <t>HD Externo</t>
  </si>
  <si>
    <t>2025-03-21</t>
  </si>
  <si>
    <t>2025-10-04</t>
  </si>
  <si>
    <t>Pen Drive</t>
  </si>
  <si>
    <t>2025-09-27</t>
  </si>
  <si>
    <t>2025-02-14</t>
  </si>
  <si>
    <t>2025-11-14</t>
  </si>
  <si>
    <t>Headset</t>
  </si>
  <si>
    <t>Periféricos</t>
  </si>
  <si>
    <t>2025-07-01</t>
  </si>
  <si>
    <t>2025-01-11</t>
  </si>
  <si>
    <t>Teclado</t>
  </si>
  <si>
    <t>2025-01-09</t>
  </si>
  <si>
    <t>Webcam</t>
  </si>
  <si>
    <t>2025-04-30</t>
  </si>
  <si>
    <t>2025-02-03</t>
  </si>
  <si>
    <t>Mouse</t>
  </si>
  <si>
    <t>2025-11-10</t>
  </si>
  <si>
    <t>2025-11-20</t>
  </si>
  <si>
    <t>2025-12-30</t>
  </si>
  <si>
    <t>2025-02-23</t>
  </si>
  <si>
    <t>2025-07-19</t>
  </si>
  <si>
    <t>2025-05-14</t>
  </si>
  <si>
    <t>2025-02-07</t>
  </si>
  <si>
    <t>2025-03-03</t>
  </si>
  <si>
    <t>2025-07-20</t>
  </si>
  <si>
    <t>2025-07-03</t>
  </si>
  <si>
    <t>2025-04-07</t>
  </si>
  <si>
    <t>2025-09-25</t>
  </si>
  <si>
    <t>2025-08-10</t>
  </si>
  <si>
    <t>2025-02-09</t>
  </si>
  <si>
    <t>2025-01-25</t>
  </si>
  <si>
    <t>2025-12-20</t>
  </si>
  <si>
    <t>2025-09-09</t>
  </si>
  <si>
    <t>2025-08-07</t>
  </si>
  <si>
    <t>2025-05-08</t>
  </si>
  <si>
    <t>2025-02-06</t>
  </si>
  <si>
    <t>2025-01-07</t>
  </si>
  <si>
    <t>2025-07-26</t>
  </si>
  <si>
    <t>2025-12-21</t>
  </si>
  <si>
    <t>2025-08-12</t>
  </si>
  <si>
    <t>2025-03-13</t>
  </si>
  <si>
    <t>2025-08-26</t>
  </si>
  <si>
    <t>2025-11-02</t>
  </si>
  <si>
    <t>Monitor</t>
  </si>
  <si>
    <t>2025-03-06</t>
  </si>
  <si>
    <t>2025-11-17</t>
  </si>
  <si>
    <t>2025-12-05</t>
  </si>
  <si>
    <t>2025-09-01</t>
  </si>
  <si>
    <t>2025-08-03</t>
  </si>
  <si>
    <t>2025-06-16</t>
  </si>
  <si>
    <t>2025-10-23</t>
  </si>
  <si>
    <t>2025-09-16</t>
  </si>
  <si>
    <t>2025-09-03</t>
  </si>
  <si>
    <t>2025-08-01</t>
  </si>
  <si>
    <t>2025-09-24</t>
  </si>
  <si>
    <t>2025-11-09</t>
  </si>
  <si>
    <t>2025-04-27</t>
  </si>
  <si>
    <t>2025-09-10</t>
  </si>
  <si>
    <t>2025-06-15</t>
  </si>
  <si>
    <t>2025-09-19</t>
  </si>
  <si>
    <t>2025-11-05</t>
  </si>
  <si>
    <t>2025-10-17</t>
  </si>
  <si>
    <t>2025-05-26</t>
  </si>
  <si>
    <t>2025-06-27</t>
  </si>
  <si>
    <t>2025-05-20</t>
  </si>
  <si>
    <t>2025-09-15</t>
  </si>
  <si>
    <t>2025-10-24</t>
  </si>
  <si>
    <t>2025-09-05</t>
  </si>
  <si>
    <t>2025-01-17</t>
  </si>
  <si>
    <t>2025-01-12</t>
  </si>
  <si>
    <t>2025-09-22</t>
  </si>
  <si>
    <t>2025-03-08</t>
  </si>
  <si>
    <t>2025-05-24</t>
  </si>
  <si>
    <t>2025-08-23</t>
  </si>
  <si>
    <t>2025-09-18</t>
  </si>
  <si>
    <t>2025-01-10</t>
  </si>
  <si>
    <t>2025-04-06</t>
  </si>
  <si>
    <t>2025-10-08</t>
  </si>
  <si>
    <t>2025-09-17</t>
  </si>
  <si>
    <t>2025-08-18</t>
  </si>
  <si>
    <t>2025-08-05</t>
  </si>
  <si>
    <t>2025-10-29</t>
  </si>
  <si>
    <t>2025-02-04</t>
  </si>
  <si>
    <t>2025-01-26</t>
  </si>
  <si>
    <t>2025-09-14</t>
  </si>
  <si>
    <t>2025-02-20</t>
  </si>
  <si>
    <t>2025-03-18</t>
  </si>
  <si>
    <t>2025-03-25</t>
  </si>
  <si>
    <t>2025-03-04</t>
  </si>
  <si>
    <t>2025-12-31</t>
  </si>
  <si>
    <t>2025-09-04</t>
  </si>
  <si>
    <t>2025-08-20</t>
  </si>
  <si>
    <t>2025-04-13</t>
  </si>
  <si>
    <t>2025-06-12</t>
  </si>
  <si>
    <t>2025-10-03</t>
  </si>
  <si>
    <t>2025-10-28</t>
  </si>
  <si>
    <t>2025-05-23</t>
  </si>
  <si>
    <t>2025-07-30</t>
  </si>
  <si>
    <t>2025-12-03</t>
  </si>
  <si>
    <t>2025-03-11</t>
  </si>
  <si>
    <t>2025-10-18</t>
  </si>
  <si>
    <t>2025-11-29</t>
  </si>
  <si>
    <t>2025-05-09</t>
  </si>
  <si>
    <t>2025-04-29</t>
  </si>
  <si>
    <t>2025-03-29</t>
  </si>
  <si>
    <t>2025-08-04</t>
  </si>
  <si>
    <t>2025-12-04</t>
  </si>
  <si>
    <t>2025-12-09</t>
  </si>
  <si>
    <t>2025-04-20</t>
  </si>
  <si>
    <t>2025-03-24</t>
  </si>
  <si>
    <t>2025-11-13</t>
  </si>
  <si>
    <t>2025-06-23</t>
  </si>
  <si>
    <t>2025-11-27</t>
  </si>
  <si>
    <t>2025-11-11</t>
  </si>
  <si>
    <t>2025-02-13</t>
  </si>
  <si>
    <t>2025-03-09</t>
  </si>
  <si>
    <t>2025-03-17</t>
  </si>
  <si>
    <t>2025-09-12</t>
  </si>
  <si>
    <t>2025-07-31</t>
  </si>
  <si>
    <t>2025-06-05</t>
  </si>
  <si>
    <t>2025-09-28</t>
  </si>
  <si>
    <t>2025-08-24</t>
  </si>
  <si>
    <t>2025-12-07</t>
  </si>
  <si>
    <t>2025-03-16</t>
  </si>
  <si>
    <t>2025-06-11</t>
  </si>
  <si>
    <t>2025-02-12</t>
  </si>
  <si>
    <t>2025-10-01</t>
  </si>
  <si>
    <t>2025-03-26</t>
  </si>
  <si>
    <t>2025-02-16</t>
  </si>
  <si>
    <t>2025-10-09</t>
  </si>
  <si>
    <t>2025-10-19</t>
  </si>
  <si>
    <t>2025-03-14</t>
  </si>
  <si>
    <t>2025-04-26</t>
  </si>
  <si>
    <t>2025-02-02</t>
  </si>
  <si>
    <t>2025-08-06</t>
  </si>
  <si>
    <t>2025-12-10</t>
  </si>
  <si>
    <t>2025-07-07</t>
  </si>
  <si>
    <t>2025-03-10</t>
  </si>
  <si>
    <t>2025-02-22</t>
  </si>
  <si>
    <t>2025-11-22</t>
  </si>
  <si>
    <t>2025-10-22</t>
  </si>
  <si>
    <t>2025-02-15</t>
  </si>
  <si>
    <t>2025-08-09</t>
  </si>
  <si>
    <t>2025-06-18</t>
  </si>
  <si>
    <t>2025-05-18</t>
  </si>
  <si>
    <t>2025-01-03</t>
  </si>
  <si>
    <t>2025-03-30</t>
  </si>
  <si>
    <t>2025-03-28</t>
  </si>
  <si>
    <t>2025-07-14</t>
  </si>
  <si>
    <t>2025-11-21</t>
  </si>
  <si>
    <t>2025-07-21</t>
  </si>
  <si>
    <t>2025-11-03</t>
  </si>
  <si>
    <t>2025-05-12</t>
  </si>
  <si>
    <t>2025-10-30</t>
  </si>
  <si>
    <t>2025-04-17</t>
  </si>
  <si>
    <t>2025-05-10</t>
  </si>
  <si>
    <t>2025-12-13</t>
  </si>
  <si>
    <t>2025-01-27</t>
  </si>
  <si>
    <t>2025-04-09</t>
  </si>
  <si>
    <t>2025-07-24</t>
  </si>
  <si>
    <t>2025-05-13</t>
  </si>
  <si>
    <t>2025-12-14</t>
  </si>
  <si>
    <t>2025-05-30</t>
  </si>
  <si>
    <t>2025-09-08</t>
  </si>
  <si>
    <t>2025-12-06</t>
  </si>
  <si>
    <t>2025-05-17</t>
  </si>
  <si>
    <t>2025-07-17</t>
  </si>
  <si>
    <t>2025-01-28</t>
  </si>
  <si>
    <t>2025-06-08</t>
  </si>
  <si>
    <t>2025-08-25</t>
  </si>
  <si>
    <t>2025-12-18</t>
  </si>
  <si>
    <t>2025-05-01</t>
  </si>
  <si>
    <t>2025-08-30</t>
  </si>
  <si>
    <t>2025-04-25</t>
  </si>
  <si>
    <t>2025-12-01</t>
  </si>
  <si>
    <t>2025-06-24</t>
  </si>
  <si>
    <t>2025-07-12</t>
  </si>
  <si>
    <t>2025-09-02</t>
  </si>
  <si>
    <t>2025-08-29</t>
  </si>
  <si>
    <t>2025-05-22</t>
  </si>
  <si>
    <t>2025-09-23</t>
  </si>
  <si>
    <t>2025-07-29</t>
  </si>
  <si>
    <t>2025-05-28</t>
  </si>
  <si>
    <t>2025-01-02</t>
  </si>
  <si>
    <t>2025-01-08</t>
  </si>
  <si>
    <t>2025-02-18</t>
  </si>
  <si>
    <t>2025-12-26</t>
  </si>
  <si>
    <t>2025-05-04</t>
  </si>
  <si>
    <t>2025-07-27</t>
  </si>
  <si>
    <t>2025-11-12</t>
  </si>
  <si>
    <t>2025-07-22</t>
  </si>
  <si>
    <t>2025-04-28</t>
  </si>
  <si>
    <t>2025-07-13</t>
  </si>
  <si>
    <t>2025-08-27</t>
  </si>
  <si>
    <t>2025-11-19</t>
  </si>
  <si>
    <t>2025-01-21</t>
  </si>
  <si>
    <t>2025-06-30</t>
  </si>
  <si>
    <t>2025-02-11</t>
  </si>
  <si>
    <t>2025-02-05</t>
  </si>
  <si>
    <t>2025-11-23</t>
  </si>
  <si>
    <t>2025-02-08</t>
  </si>
  <si>
    <t>2025-03-15</t>
  </si>
  <si>
    <t>2025-04-22</t>
  </si>
  <si>
    <t>2025-05-25</t>
  </si>
  <si>
    <t>2025-11-16</t>
  </si>
  <si>
    <t>Total</t>
  </si>
  <si>
    <t>Rótulos de Linha</t>
  </si>
  <si>
    <t>Total Geral</t>
  </si>
  <si>
    <t>Soma de valor_total</t>
  </si>
  <si>
    <t>Soma de pedido_id</t>
  </si>
  <si>
    <t>Contagem de valor_total</t>
  </si>
  <si>
    <t>Faturamento Total</t>
  </si>
  <si>
    <t>Quantidade de Pedidos</t>
  </si>
  <si>
    <t>Ticket Médio = Faturamento Total ÷ Quantidade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</si>
</sst>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0" fontId="1" fillId="0" borderId="1" xfId="0" applyFont="1" applyBorder="1" applyAlignment="1">
      <alignment horizontal="center" vertical="top"/>
    </xf>
    <xf numFmtId="44" fontId="0" fillId="0" borderId="0" xfId="0" applyNumberFormat="1"/>
    <xf numFmtId="44" fontId="2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vertical="center"/>
    </xf>
    <xf numFmtId="44" fontId="3" fillId="2" borderId="2" xfId="0" applyNumberFormat="1" applyFont="1" applyFill="1" applyBorder="1"/>
  </cellXfs>
  <cellStyles count="2">
    <cellStyle name="Moeda" xfId="1" builtinId="4"/>
    <cellStyle name="Normal" xfId="0" builtinId="0"/>
  </cellStyles>
  <dxfs count="1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[vendas_loja.xlsx]ANALISE DE DADOS!Tabela dinâmica11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DE DADOS'!$K$10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DE DADOS'!$J$11:$J$15</c:f>
              <c:strCache>
                <c:ptCount val="4"/>
                <c:pt idx="0">
                  <c:v>Armazenamento</c:v>
                </c:pt>
                <c:pt idx="1">
                  <c:v>Eletrônicos</c:v>
                </c:pt>
                <c:pt idx="2">
                  <c:v>Móveis</c:v>
                </c:pt>
                <c:pt idx="3">
                  <c:v>Periféricos</c:v>
                </c:pt>
              </c:strCache>
            </c:strRef>
          </c:cat>
          <c:val>
            <c:numRef>
              <c:f>'ANALISE DE DADOS'!$K$11:$K$15</c:f>
              <c:numCache>
                <c:formatCode>General</c:formatCode>
                <c:ptCount val="4"/>
                <c:pt idx="0">
                  <c:v>180634</c:v>
                </c:pt>
                <c:pt idx="1">
                  <c:v>99840</c:v>
                </c:pt>
                <c:pt idx="2">
                  <c:v>20758</c:v>
                </c:pt>
                <c:pt idx="3">
                  <c:v>184449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3-4509-890F-E48F893209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714790368"/>
        <c:axId val="1579759088"/>
      </c:barChart>
      <c:catAx>
        <c:axId val="17147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9759088"/>
        <c:crosses val="autoZero"/>
        <c:auto val="1"/>
        <c:lblAlgn val="ctr"/>
        <c:lblOffset val="100"/>
        <c:noMultiLvlLbl val="0"/>
      </c:catAx>
      <c:valAx>
        <c:axId val="157975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79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[vendas_loja.xlsx]ANALISE DE DADOS!Tabela dinâmica1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'ANALISE DE DADOS'!$Q$25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DE DADOS'!$P$26:$P$36</c:f>
              <c:strCache>
                <c:ptCount val="10"/>
                <c:pt idx="0">
                  <c:v>Cadeira Gamer</c:v>
                </c:pt>
                <c:pt idx="1">
                  <c:v>HD Externo</c:v>
                </c:pt>
                <c:pt idx="2">
                  <c:v>Headset</c:v>
                </c:pt>
                <c:pt idx="3">
                  <c:v>Monitor</c:v>
                </c:pt>
                <c:pt idx="4">
                  <c:v>Mouse</c:v>
                </c:pt>
                <c:pt idx="5">
                  <c:v>Notebook</c:v>
                </c:pt>
                <c:pt idx="6">
                  <c:v>Pen Drive</c:v>
                </c:pt>
                <c:pt idx="7">
                  <c:v>SSD</c:v>
                </c:pt>
                <c:pt idx="8">
                  <c:v>Teclado</c:v>
                </c:pt>
                <c:pt idx="9">
                  <c:v>Webcam</c:v>
                </c:pt>
              </c:strCache>
            </c:strRef>
          </c:cat>
          <c:val>
            <c:numRef>
              <c:f>'ANALISE DE DADOS'!$Q$26:$Q$36</c:f>
              <c:numCache>
                <c:formatCode>General</c:formatCode>
                <c:ptCount val="10"/>
                <c:pt idx="0">
                  <c:v>20758</c:v>
                </c:pt>
                <c:pt idx="1">
                  <c:v>78794</c:v>
                </c:pt>
                <c:pt idx="2">
                  <c:v>49242</c:v>
                </c:pt>
                <c:pt idx="3">
                  <c:v>32151</c:v>
                </c:pt>
                <c:pt idx="4">
                  <c:v>48146</c:v>
                </c:pt>
                <c:pt idx="5">
                  <c:v>67689</c:v>
                </c:pt>
                <c:pt idx="6">
                  <c:v>66584</c:v>
                </c:pt>
                <c:pt idx="7">
                  <c:v>35256</c:v>
                </c:pt>
                <c:pt idx="8">
                  <c:v>42270</c:v>
                </c:pt>
                <c:pt idx="9">
                  <c:v>44791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C-4CE8-B4AF-7808FDF2EF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3554992"/>
        <c:axId val="2083534352"/>
      </c:barChart>
      <c:catAx>
        <c:axId val="208355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34352"/>
        <c:crosses val="autoZero"/>
        <c:auto val="1"/>
        <c:lblAlgn val="ctr"/>
        <c:lblOffset val="100"/>
        <c:noMultiLvlLbl val="0"/>
      </c:catAx>
      <c:valAx>
        <c:axId val="2083534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5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04"/>
              <c:pt idx="0">
                <c:v>Agrupar1 2025-01-02</c:v>
              </c:pt>
              <c:pt idx="1">
                <c:v>Agrupar1 2025-01-03</c:v>
              </c:pt>
              <c:pt idx="2">
                <c:v>Agrupar1 2025-01-07</c:v>
              </c:pt>
              <c:pt idx="3">
                <c:v>Agrupar1 2025-01-08</c:v>
              </c:pt>
              <c:pt idx="4">
                <c:v>Agrupar1 2025-01-09</c:v>
              </c:pt>
              <c:pt idx="5">
                <c:v>Agrupar1 2025-01-10</c:v>
              </c:pt>
              <c:pt idx="6">
                <c:v>Agrupar1 2025-01-11</c:v>
              </c:pt>
              <c:pt idx="7">
                <c:v>Agrupar1 2025-01-12</c:v>
              </c:pt>
              <c:pt idx="8">
                <c:v>Agrupar1 2025-01-13</c:v>
              </c:pt>
              <c:pt idx="9">
                <c:v>Agrupar1 2025-01-17</c:v>
              </c:pt>
              <c:pt idx="10">
                <c:v>Agrupar1 2025-01-21</c:v>
              </c:pt>
              <c:pt idx="11">
                <c:v>Agrupar1 2025-01-25</c:v>
              </c:pt>
              <c:pt idx="12">
                <c:v>Agrupar1 2025-01-26</c:v>
              </c:pt>
              <c:pt idx="13">
                <c:v>Agrupar1 2025-01-27</c:v>
              </c:pt>
              <c:pt idx="14">
                <c:v>Agrupar1 2025-01-28</c:v>
              </c:pt>
              <c:pt idx="15">
                <c:v>Agrupar1 2025-02-02</c:v>
              </c:pt>
              <c:pt idx="16">
                <c:v>Agrupar1 2025-02-03</c:v>
              </c:pt>
              <c:pt idx="17">
                <c:v>Agrupar1 2025-02-04</c:v>
              </c:pt>
              <c:pt idx="18">
                <c:v>Agrupar1 2025-02-05</c:v>
              </c:pt>
              <c:pt idx="19">
                <c:v>Agrupar1 2025-02-06</c:v>
              </c:pt>
              <c:pt idx="20">
                <c:v>Agrupar1 2025-02-07</c:v>
              </c:pt>
              <c:pt idx="21">
                <c:v>Agrupar1 2025-02-08</c:v>
              </c:pt>
              <c:pt idx="22">
                <c:v>Agrupar1 2025-02-09</c:v>
              </c:pt>
              <c:pt idx="23">
                <c:v>Agrupar1 2025-02-11</c:v>
              </c:pt>
              <c:pt idx="24">
                <c:v>Agrupar1 2025-02-12</c:v>
              </c:pt>
              <c:pt idx="25">
                <c:v>Agrupar1 2025-02-13</c:v>
              </c:pt>
              <c:pt idx="26">
                <c:v>Agrupar1 2025-02-14</c:v>
              </c:pt>
              <c:pt idx="27">
                <c:v>Agrupar1 2025-02-15</c:v>
              </c:pt>
              <c:pt idx="28">
                <c:v>Agrupar1 2025-02-16</c:v>
              </c:pt>
              <c:pt idx="29">
                <c:v>Agrupar1 2025-02-18</c:v>
              </c:pt>
              <c:pt idx="30">
                <c:v>Agrupar1 2025-02-20</c:v>
              </c:pt>
              <c:pt idx="31">
                <c:v>Agrupar1 2025-02-22</c:v>
              </c:pt>
              <c:pt idx="32">
                <c:v>Agrupar1 2025-02-23</c:v>
              </c:pt>
              <c:pt idx="33">
                <c:v>Agrupar1 2025-03-03</c:v>
              </c:pt>
              <c:pt idx="34">
                <c:v>Agrupar1 2025-03-04</c:v>
              </c:pt>
              <c:pt idx="35">
                <c:v>Agrupar1 2025-03-06</c:v>
              </c:pt>
              <c:pt idx="36">
                <c:v>Agrupar1 2025-03-08</c:v>
              </c:pt>
              <c:pt idx="37">
                <c:v>Agrupar1 2025-03-09</c:v>
              </c:pt>
              <c:pt idx="38">
                <c:v>Agrupar1 2025-03-10</c:v>
              </c:pt>
              <c:pt idx="39">
                <c:v>Agrupar1 2025-03-11</c:v>
              </c:pt>
              <c:pt idx="40">
                <c:v>Agrupar1 2025-03-13</c:v>
              </c:pt>
              <c:pt idx="41">
                <c:v>Agrupar1 2025-03-14</c:v>
              </c:pt>
              <c:pt idx="42">
                <c:v>Agrupar1 2025-03-15</c:v>
              </c:pt>
              <c:pt idx="43">
                <c:v>Agrupar1 2025-03-16</c:v>
              </c:pt>
              <c:pt idx="44">
                <c:v>Agrupar1 2025-03-17</c:v>
              </c:pt>
              <c:pt idx="45">
                <c:v>Agrupar1 2025-03-18</c:v>
              </c:pt>
              <c:pt idx="46">
                <c:v>Agrupar1 2025-03-20</c:v>
              </c:pt>
              <c:pt idx="47">
                <c:v>Agrupar1 2025-03-21</c:v>
              </c:pt>
              <c:pt idx="48">
                <c:v>Agrupar1 2025-03-22</c:v>
              </c:pt>
              <c:pt idx="49">
                <c:v>Agrupar1 2025-03-24</c:v>
              </c:pt>
              <c:pt idx="50">
                <c:v>Agrupar1 2025-03-25</c:v>
              </c:pt>
              <c:pt idx="51">
                <c:v>Agrupar1 2025-03-26</c:v>
              </c:pt>
              <c:pt idx="52">
                <c:v>Agrupar1 2025-03-28</c:v>
              </c:pt>
              <c:pt idx="53">
                <c:v>Agrupar1 2025-03-29</c:v>
              </c:pt>
              <c:pt idx="54">
                <c:v>Agrupar1 2025-03-30</c:v>
              </c:pt>
              <c:pt idx="55">
                <c:v>Agrupar1 2025-04-06</c:v>
              </c:pt>
              <c:pt idx="56">
                <c:v>Agrupar1 2025-04-07</c:v>
              </c:pt>
              <c:pt idx="57">
                <c:v>Agrupar1 2025-04-09</c:v>
              </c:pt>
              <c:pt idx="58">
                <c:v>Agrupar1 2025-04-13</c:v>
              </c:pt>
              <c:pt idx="59">
                <c:v>Agrupar1 2025-04-17</c:v>
              </c:pt>
              <c:pt idx="60">
                <c:v>Agrupar1 2025-04-20</c:v>
              </c:pt>
              <c:pt idx="61">
                <c:v>Agrupar1 2025-04-21</c:v>
              </c:pt>
              <c:pt idx="62">
                <c:v>Agrupar1 2025-04-22</c:v>
              </c:pt>
              <c:pt idx="63">
                <c:v>Agrupar1 2025-04-25</c:v>
              </c:pt>
              <c:pt idx="64">
                <c:v>Agrupar1 2025-04-26</c:v>
              </c:pt>
              <c:pt idx="65">
                <c:v>Agrupar1 2025-04-27</c:v>
              </c:pt>
              <c:pt idx="66">
                <c:v>Agrupar1 2025-04-28</c:v>
              </c:pt>
              <c:pt idx="67">
                <c:v>Agrupar1 2025-04-29</c:v>
              </c:pt>
              <c:pt idx="68">
                <c:v>Agrupar1 2025-04-30</c:v>
              </c:pt>
              <c:pt idx="69">
                <c:v>Agrupar1 2025-05-01</c:v>
              </c:pt>
              <c:pt idx="70">
                <c:v>Agrupar1 2025-05-04</c:v>
              </c:pt>
              <c:pt idx="71">
                <c:v>Agrupar1 2025-05-08</c:v>
              </c:pt>
              <c:pt idx="72">
                <c:v>Agrupar1 2025-05-09</c:v>
              </c:pt>
              <c:pt idx="73">
                <c:v>Agrupar1 2025-05-10</c:v>
              </c:pt>
              <c:pt idx="74">
                <c:v>Agrupar1 2025-05-12</c:v>
              </c:pt>
              <c:pt idx="75">
                <c:v>Agrupar1 2025-05-13</c:v>
              </c:pt>
              <c:pt idx="76">
                <c:v>Agrupar1 2025-05-14</c:v>
              </c:pt>
              <c:pt idx="77">
                <c:v>Agrupar1 2025-05-17</c:v>
              </c:pt>
              <c:pt idx="78">
                <c:v>Agrupar1 2025-05-18</c:v>
              </c:pt>
              <c:pt idx="79">
                <c:v>Agrupar1 2025-05-20</c:v>
              </c:pt>
              <c:pt idx="80">
                <c:v>Agrupar1 2025-05-22</c:v>
              </c:pt>
              <c:pt idx="81">
                <c:v>Agrupar1 2025-05-23</c:v>
              </c:pt>
              <c:pt idx="82">
                <c:v>Agrupar1 2025-05-24</c:v>
              </c:pt>
              <c:pt idx="83">
                <c:v>Agrupar1 2025-05-25</c:v>
              </c:pt>
              <c:pt idx="84">
                <c:v>Agrupar1 2025-05-26</c:v>
              </c:pt>
              <c:pt idx="85">
                <c:v>Agrupar1 2025-05-28</c:v>
              </c:pt>
              <c:pt idx="86">
                <c:v>Agrupar1 2025-05-30</c:v>
              </c:pt>
              <c:pt idx="87">
                <c:v>Agrupar1 2025-06-05</c:v>
              </c:pt>
              <c:pt idx="88">
                <c:v>Agrupar1 2025-06-08</c:v>
              </c:pt>
              <c:pt idx="89">
                <c:v>Agrupar1 2025-06-11</c:v>
              </c:pt>
              <c:pt idx="90">
                <c:v>Agrupar1 2025-06-12</c:v>
              </c:pt>
              <c:pt idx="91">
                <c:v>Agrupar1 2025-06-15</c:v>
              </c:pt>
              <c:pt idx="92">
                <c:v>Agrupar1 2025-06-16</c:v>
              </c:pt>
              <c:pt idx="93">
                <c:v>Agrupar1 2025-06-18</c:v>
              </c:pt>
              <c:pt idx="94">
                <c:v>Agrupar1 2025-06-23</c:v>
              </c:pt>
              <c:pt idx="95">
                <c:v>Agrupar1 2025-06-24</c:v>
              </c:pt>
              <c:pt idx="96">
                <c:v>Agrupar1 2025-06-27</c:v>
              </c:pt>
              <c:pt idx="97">
                <c:v>Agrupar1 2025-06-30</c:v>
              </c:pt>
              <c:pt idx="98">
                <c:v>Agrupar1 2025-07-01</c:v>
              </c:pt>
              <c:pt idx="99">
                <c:v>Agrupar1 2025-07-03</c:v>
              </c:pt>
              <c:pt idx="100">
                <c:v>Agrupar1 2025-07-07</c:v>
              </c:pt>
              <c:pt idx="101">
                <c:v>Agrupar1 2025-07-12</c:v>
              </c:pt>
              <c:pt idx="102">
                <c:v>Agrupar1 2025-07-13</c:v>
              </c:pt>
              <c:pt idx="103">
                <c:v>Agrupar1 2025-07-14</c:v>
              </c:pt>
              <c:pt idx="104">
                <c:v>Agrupar1 2025-07-17</c:v>
              </c:pt>
              <c:pt idx="105">
                <c:v>Agrupar1 2025-07-19</c:v>
              </c:pt>
              <c:pt idx="106">
                <c:v>Agrupar1 2025-07-20</c:v>
              </c:pt>
              <c:pt idx="107">
                <c:v>Agrupar1 2025-07-21</c:v>
              </c:pt>
              <c:pt idx="108">
                <c:v>Agrupar1 2025-07-22</c:v>
              </c:pt>
              <c:pt idx="109">
                <c:v>Agrupar1 2025-07-24</c:v>
              </c:pt>
              <c:pt idx="110">
                <c:v>Agrupar1 2025-07-26</c:v>
              </c:pt>
              <c:pt idx="111">
                <c:v>Agrupar1 2025-07-27</c:v>
              </c:pt>
              <c:pt idx="112">
                <c:v>Agrupar1 2025-07-29</c:v>
              </c:pt>
              <c:pt idx="113">
                <c:v>Agrupar1 2025-07-30</c:v>
              </c:pt>
              <c:pt idx="114">
                <c:v>Agrupar1 2025-07-31</c:v>
              </c:pt>
              <c:pt idx="115">
                <c:v>Agrupar1 2025-08-01</c:v>
              </c:pt>
              <c:pt idx="116">
                <c:v>Agrupar1 2025-08-03</c:v>
              </c:pt>
              <c:pt idx="117">
                <c:v>Agrupar1 2025-08-04</c:v>
              </c:pt>
              <c:pt idx="118">
                <c:v>Agrupar1 2025-08-05</c:v>
              </c:pt>
              <c:pt idx="119">
                <c:v>Agrupar1 2025-08-06</c:v>
              </c:pt>
              <c:pt idx="120">
                <c:v>Agrupar1 2025-08-07</c:v>
              </c:pt>
              <c:pt idx="121">
                <c:v>Agrupar1 2025-08-09</c:v>
              </c:pt>
              <c:pt idx="122">
                <c:v>Agrupar1 2025-08-10</c:v>
              </c:pt>
              <c:pt idx="123">
                <c:v>Agrupar1 2025-08-12</c:v>
              </c:pt>
              <c:pt idx="124">
                <c:v>Agrupar1 2025-08-18</c:v>
              </c:pt>
              <c:pt idx="125">
                <c:v>Agrupar1 2025-08-20</c:v>
              </c:pt>
              <c:pt idx="126">
                <c:v>Agrupar1 2025-08-23</c:v>
              </c:pt>
              <c:pt idx="127">
                <c:v>Agrupar1 2025-08-24</c:v>
              </c:pt>
              <c:pt idx="128">
                <c:v>Agrupar1 2025-08-25</c:v>
              </c:pt>
              <c:pt idx="129">
                <c:v>Agrupar1 2025-08-26</c:v>
              </c:pt>
              <c:pt idx="130">
                <c:v>Agrupar1 2025-08-27</c:v>
              </c:pt>
              <c:pt idx="131">
                <c:v>Agrupar1 2025-08-29</c:v>
              </c:pt>
              <c:pt idx="132">
                <c:v>Agrupar1 2025-08-30</c:v>
              </c:pt>
              <c:pt idx="133">
                <c:v>Agrupar1 2025-09-01</c:v>
              </c:pt>
              <c:pt idx="134">
                <c:v>Agrupar1 2025-09-02</c:v>
              </c:pt>
              <c:pt idx="135">
                <c:v>Agrupar1 2025-09-03</c:v>
              </c:pt>
              <c:pt idx="136">
                <c:v>Agrupar1 2025-09-04</c:v>
              </c:pt>
              <c:pt idx="137">
                <c:v>Agrupar1 2025-09-05</c:v>
              </c:pt>
              <c:pt idx="138">
                <c:v>Agrupar1 2025-09-08</c:v>
              </c:pt>
              <c:pt idx="139">
                <c:v>Agrupar1 2025-09-09</c:v>
              </c:pt>
              <c:pt idx="140">
                <c:v>Agrupar1 2025-09-10</c:v>
              </c:pt>
              <c:pt idx="141">
                <c:v>Agrupar1 2025-09-12</c:v>
              </c:pt>
              <c:pt idx="142">
                <c:v>Agrupar1 2025-09-14</c:v>
              </c:pt>
              <c:pt idx="143">
                <c:v>Agrupar1 2025-09-15</c:v>
              </c:pt>
              <c:pt idx="144">
                <c:v>Agrupar1 2025-09-16</c:v>
              </c:pt>
              <c:pt idx="145">
                <c:v>Agrupar1 2025-09-17</c:v>
              </c:pt>
              <c:pt idx="146">
                <c:v>Agrupar1 2025-09-18</c:v>
              </c:pt>
              <c:pt idx="147">
                <c:v>Agrupar1 2025-09-19</c:v>
              </c:pt>
              <c:pt idx="148">
                <c:v>Agrupar1 2025-09-22</c:v>
              </c:pt>
              <c:pt idx="149">
                <c:v>Agrupar1 2025-09-23</c:v>
              </c:pt>
              <c:pt idx="150">
                <c:v>Agrupar1 2025-09-24</c:v>
              </c:pt>
              <c:pt idx="151">
                <c:v>Agrupar1 2025-09-25</c:v>
              </c:pt>
              <c:pt idx="152">
                <c:v>Agrupar1 2025-09-27</c:v>
              </c:pt>
              <c:pt idx="153">
                <c:v>Agrupar1 2025-09-28</c:v>
              </c:pt>
              <c:pt idx="154">
                <c:v>Agrupar1 2025-10-01</c:v>
              </c:pt>
              <c:pt idx="155">
                <c:v>Agrupar1 2025-10-03</c:v>
              </c:pt>
              <c:pt idx="156">
                <c:v>Agrupar1 2025-10-04</c:v>
              </c:pt>
              <c:pt idx="157">
                <c:v>Agrupar1 2025-10-08</c:v>
              </c:pt>
              <c:pt idx="158">
                <c:v>Agrupar1 2025-10-09</c:v>
              </c:pt>
              <c:pt idx="159">
                <c:v>Agrupar1 2025-10-14</c:v>
              </c:pt>
              <c:pt idx="160">
                <c:v>Agrupar1 2025-10-17</c:v>
              </c:pt>
              <c:pt idx="161">
                <c:v>Agrupar1 2025-10-18</c:v>
              </c:pt>
              <c:pt idx="162">
                <c:v>Agrupar1 2025-10-19</c:v>
              </c:pt>
              <c:pt idx="163">
                <c:v>Agrupar1 2025-10-22</c:v>
              </c:pt>
              <c:pt idx="164">
                <c:v>Agrupar1 2025-10-23</c:v>
              </c:pt>
              <c:pt idx="165">
                <c:v>Agrupar1 2025-10-24</c:v>
              </c:pt>
              <c:pt idx="166">
                <c:v>Agrupar1 2025-10-28</c:v>
              </c:pt>
              <c:pt idx="167">
                <c:v>Agrupar1 2025-10-29</c:v>
              </c:pt>
              <c:pt idx="168">
                <c:v>Agrupar1 2025-10-30</c:v>
              </c:pt>
              <c:pt idx="169">
                <c:v>Agrupar1 2025-11-02</c:v>
              </c:pt>
              <c:pt idx="170">
                <c:v>Agrupar1 2025-11-03</c:v>
              </c:pt>
              <c:pt idx="171">
                <c:v>Agrupar1 2025-11-05</c:v>
              </c:pt>
              <c:pt idx="172">
                <c:v>Agrupar1 2025-11-08</c:v>
              </c:pt>
              <c:pt idx="173">
                <c:v>Agrupar1 2025-11-09</c:v>
              </c:pt>
              <c:pt idx="174">
                <c:v>Agrupar1 2025-11-10</c:v>
              </c:pt>
              <c:pt idx="175">
                <c:v>Agrupar1 2025-11-11</c:v>
              </c:pt>
              <c:pt idx="176">
                <c:v>Agrupar1 2025-11-12</c:v>
              </c:pt>
              <c:pt idx="177">
                <c:v>Agrupar1 2025-11-13</c:v>
              </c:pt>
              <c:pt idx="178">
                <c:v>Agrupar1 2025-11-14</c:v>
              </c:pt>
              <c:pt idx="179">
                <c:v>Agrupar1 2025-11-16</c:v>
              </c:pt>
              <c:pt idx="180">
                <c:v>Agrupar1 2025-11-17</c:v>
              </c:pt>
              <c:pt idx="181">
                <c:v>Agrupar1 2025-11-19</c:v>
              </c:pt>
              <c:pt idx="182">
                <c:v>Agrupar1 2025-11-20</c:v>
              </c:pt>
              <c:pt idx="183">
                <c:v>Agrupar1 2025-11-21</c:v>
              </c:pt>
              <c:pt idx="184">
                <c:v>Agrupar1 2025-11-22</c:v>
              </c:pt>
              <c:pt idx="185">
                <c:v>Agrupar1 2025-11-23</c:v>
              </c:pt>
              <c:pt idx="186">
                <c:v>Agrupar1 2025-11-27</c:v>
              </c:pt>
              <c:pt idx="187">
                <c:v>Agrupar1 2025-11-29</c:v>
              </c:pt>
              <c:pt idx="188">
                <c:v>Agrupar1 2025-12-01</c:v>
              </c:pt>
              <c:pt idx="189">
                <c:v>Agrupar1 2025-12-03</c:v>
              </c:pt>
              <c:pt idx="190">
                <c:v>Agrupar1 2025-12-04</c:v>
              </c:pt>
              <c:pt idx="191">
                <c:v>Agrupar1 2025-12-05</c:v>
              </c:pt>
              <c:pt idx="192">
                <c:v>Agrupar1 2025-12-06</c:v>
              </c:pt>
              <c:pt idx="193">
                <c:v>Agrupar1 2025-12-07</c:v>
              </c:pt>
              <c:pt idx="194">
                <c:v>Agrupar1 2025-12-09</c:v>
              </c:pt>
              <c:pt idx="195">
                <c:v>Agrupar1 2025-12-10</c:v>
              </c:pt>
              <c:pt idx="196">
                <c:v>Agrupar1 2025-12-13</c:v>
              </c:pt>
              <c:pt idx="197">
                <c:v>Agrupar1 2025-12-14</c:v>
              </c:pt>
              <c:pt idx="198">
                <c:v>Agrupar1 2025-12-18</c:v>
              </c:pt>
              <c:pt idx="199">
                <c:v>Agrupar1 2025-12-20</c:v>
              </c:pt>
              <c:pt idx="200">
                <c:v>Agrupar1 2025-12-21</c:v>
              </c:pt>
              <c:pt idx="201">
                <c:v>Agrupar1 2025-12-26</c:v>
              </c:pt>
              <c:pt idx="202">
                <c:v>Agrupar1 2025-12-30</c:v>
              </c:pt>
              <c:pt idx="203">
                <c:v>Agrupar1 2025-12-31</c:v>
              </c:pt>
            </c:strLit>
          </c:cat>
          <c:val>
            <c:numLit>
              <c:formatCode>General</c:formatCode>
              <c:ptCount val="204"/>
              <c:pt idx="0">
                <c:v>6384</c:v>
              </c:pt>
              <c:pt idx="1">
                <c:v>14020</c:v>
              </c:pt>
              <c:pt idx="2">
                <c:v>16677</c:v>
              </c:pt>
              <c:pt idx="3">
                <c:v>10716</c:v>
              </c:pt>
              <c:pt idx="4">
                <c:v>18771</c:v>
              </c:pt>
              <c:pt idx="5">
                <c:v>16778</c:v>
              </c:pt>
              <c:pt idx="6">
                <c:v>4628</c:v>
              </c:pt>
              <c:pt idx="7">
                <c:v>4586</c:v>
              </c:pt>
              <c:pt idx="8">
                <c:v>2899</c:v>
              </c:pt>
              <c:pt idx="9">
                <c:v>2913</c:v>
              </c:pt>
              <c:pt idx="10">
                <c:v>660</c:v>
              </c:pt>
              <c:pt idx="11">
                <c:v>1020</c:v>
              </c:pt>
              <c:pt idx="12">
                <c:v>9117</c:v>
              </c:pt>
              <c:pt idx="13">
                <c:v>14604</c:v>
              </c:pt>
              <c:pt idx="14">
                <c:v>784</c:v>
              </c:pt>
              <c:pt idx="15">
                <c:v>19260</c:v>
              </c:pt>
              <c:pt idx="16">
                <c:v>6065</c:v>
              </c:pt>
              <c:pt idx="17">
                <c:v>10251</c:v>
              </c:pt>
              <c:pt idx="18">
                <c:v>13516</c:v>
              </c:pt>
              <c:pt idx="19">
                <c:v>3800</c:v>
              </c:pt>
              <c:pt idx="20">
                <c:v>1712</c:v>
              </c:pt>
              <c:pt idx="21">
                <c:v>10375</c:v>
              </c:pt>
              <c:pt idx="22">
                <c:v>18869</c:v>
              </c:pt>
              <c:pt idx="23">
                <c:v>8455</c:v>
              </c:pt>
              <c:pt idx="24">
                <c:v>5064</c:v>
              </c:pt>
              <c:pt idx="25">
                <c:v>18378</c:v>
              </c:pt>
              <c:pt idx="26">
                <c:v>4484</c:v>
              </c:pt>
              <c:pt idx="27">
                <c:v>5252</c:v>
              </c:pt>
              <c:pt idx="28">
                <c:v>4025</c:v>
              </c:pt>
              <c:pt idx="29">
                <c:v>7670</c:v>
              </c:pt>
              <c:pt idx="30">
                <c:v>28784</c:v>
              </c:pt>
              <c:pt idx="31">
                <c:v>12593</c:v>
              </c:pt>
              <c:pt idx="32">
                <c:v>612</c:v>
              </c:pt>
              <c:pt idx="33">
                <c:v>6494</c:v>
              </c:pt>
              <c:pt idx="34">
                <c:v>17155</c:v>
              </c:pt>
              <c:pt idx="35">
                <c:v>14490</c:v>
              </c:pt>
              <c:pt idx="36">
                <c:v>6480</c:v>
              </c:pt>
              <c:pt idx="37">
                <c:v>20531</c:v>
              </c:pt>
              <c:pt idx="38">
                <c:v>2425</c:v>
              </c:pt>
              <c:pt idx="39">
                <c:v>19169</c:v>
              </c:pt>
              <c:pt idx="40">
                <c:v>8521</c:v>
              </c:pt>
              <c:pt idx="41">
                <c:v>20099</c:v>
              </c:pt>
              <c:pt idx="42">
                <c:v>4714</c:v>
              </c:pt>
              <c:pt idx="43">
                <c:v>6634</c:v>
              </c:pt>
              <c:pt idx="44">
                <c:v>6316</c:v>
              </c:pt>
              <c:pt idx="45">
                <c:v>12630</c:v>
              </c:pt>
              <c:pt idx="46">
                <c:v>970</c:v>
              </c:pt>
              <c:pt idx="47">
                <c:v>10045</c:v>
              </c:pt>
              <c:pt idx="48">
                <c:v>21586</c:v>
              </c:pt>
              <c:pt idx="49">
                <c:v>620</c:v>
              </c:pt>
              <c:pt idx="50">
                <c:v>11349</c:v>
              </c:pt>
              <c:pt idx="51">
                <c:v>10791</c:v>
              </c:pt>
              <c:pt idx="52">
                <c:v>1838</c:v>
              </c:pt>
              <c:pt idx="53">
                <c:v>7722</c:v>
              </c:pt>
              <c:pt idx="54">
                <c:v>2040</c:v>
              </c:pt>
              <c:pt idx="55">
                <c:v>932</c:v>
              </c:pt>
              <c:pt idx="56">
                <c:v>9520</c:v>
              </c:pt>
              <c:pt idx="57">
                <c:v>2176</c:v>
              </c:pt>
              <c:pt idx="58">
                <c:v>17600</c:v>
              </c:pt>
              <c:pt idx="59">
                <c:v>7086</c:v>
              </c:pt>
              <c:pt idx="60">
                <c:v>1575</c:v>
              </c:pt>
              <c:pt idx="61">
                <c:v>6996</c:v>
              </c:pt>
              <c:pt idx="62">
                <c:v>913</c:v>
              </c:pt>
              <c:pt idx="63">
                <c:v>2480</c:v>
              </c:pt>
              <c:pt idx="64">
                <c:v>3019</c:v>
              </c:pt>
              <c:pt idx="65">
                <c:v>5058</c:v>
              </c:pt>
              <c:pt idx="66">
                <c:v>980</c:v>
              </c:pt>
              <c:pt idx="67">
                <c:v>11108</c:v>
              </c:pt>
              <c:pt idx="68">
                <c:v>21782</c:v>
              </c:pt>
              <c:pt idx="69">
                <c:v>4930</c:v>
              </c:pt>
              <c:pt idx="70">
                <c:v>2047</c:v>
              </c:pt>
              <c:pt idx="71">
                <c:v>6534</c:v>
              </c:pt>
              <c:pt idx="72">
                <c:v>2020</c:v>
              </c:pt>
              <c:pt idx="73">
                <c:v>422</c:v>
              </c:pt>
              <c:pt idx="74">
                <c:v>6720</c:v>
              </c:pt>
              <c:pt idx="75">
                <c:v>17977</c:v>
              </c:pt>
              <c:pt idx="76">
                <c:v>23269</c:v>
              </c:pt>
              <c:pt idx="77">
                <c:v>2166</c:v>
              </c:pt>
              <c:pt idx="78">
                <c:v>15076</c:v>
              </c:pt>
              <c:pt idx="79">
                <c:v>13270</c:v>
              </c:pt>
              <c:pt idx="80">
                <c:v>574</c:v>
              </c:pt>
              <c:pt idx="81">
                <c:v>9627</c:v>
              </c:pt>
              <c:pt idx="82">
                <c:v>12309</c:v>
              </c:pt>
              <c:pt idx="83">
                <c:v>194</c:v>
              </c:pt>
              <c:pt idx="84">
                <c:v>18367</c:v>
              </c:pt>
              <c:pt idx="85">
                <c:v>5822</c:v>
              </c:pt>
              <c:pt idx="86">
                <c:v>1573</c:v>
              </c:pt>
              <c:pt idx="87">
                <c:v>2345</c:v>
              </c:pt>
              <c:pt idx="88">
                <c:v>2568</c:v>
              </c:pt>
              <c:pt idx="89">
                <c:v>2880</c:v>
              </c:pt>
              <c:pt idx="90">
                <c:v>1870</c:v>
              </c:pt>
              <c:pt idx="91">
                <c:v>896</c:v>
              </c:pt>
              <c:pt idx="92">
                <c:v>9079</c:v>
              </c:pt>
              <c:pt idx="93">
                <c:v>7185</c:v>
              </c:pt>
              <c:pt idx="94">
                <c:v>1870</c:v>
              </c:pt>
              <c:pt idx="95">
                <c:v>13105</c:v>
              </c:pt>
              <c:pt idx="96">
                <c:v>16898</c:v>
              </c:pt>
              <c:pt idx="97">
                <c:v>2963</c:v>
              </c:pt>
              <c:pt idx="98">
                <c:v>11741</c:v>
              </c:pt>
              <c:pt idx="99">
                <c:v>10016</c:v>
              </c:pt>
              <c:pt idx="100">
                <c:v>6869</c:v>
              </c:pt>
              <c:pt idx="101">
                <c:v>2310</c:v>
              </c:pt>
              <c:pt idx="102">
                <c:v>5794</c:v>
              </c:pt>
              <c:pt idx="103">
                <c:v>13212</c:v>
              </c:pt>
              <c:pt idx="104">
                <c:v>3603</c:v>
              </c:pt>
              <c:pt idx="105">
                <c:v>6567</c:v>
              </c:pt>
              <c:pt idx="106">
                <c:v>5132</c:v>
              </c:pt>
              <c:pt idx="107">
                <c:v>14640</c:v>
              </c:pt>
              <c:pt idx="108">
                <c:v>3838</c:v>
              </c:pt>
              <c:pt idx="109">
                <c:v>11976</c:v>
              </c:pt>
              <c:pt idx="110">
                <c:v>24993</c:v>
              </c:pt>
              <c:pt idx="111">
                <c:v>18860</c:v>
              </c:pt>
              <c:pt idx="112">
                <c:v>956</c:v>
              </c:pt>
              <c:pt idx="113">
                <c:v>13917</c:v>
              </c:pt>
              <c:pt idx="114">
                <c:v>17931</c:v>
              </c:pt>
              <c:pt idx="115">
                <c:v>4982</c:v>
              </c:pt>
              <c:pt idx="116">
                <c:v>19245</c:v>
              </c:pt>
              <c:pt idx="117">
                <c:v>14869</c:v>
              </c:pt>
              <c:pt idx="118">
                <c:v>15344</c:v>
              </c:pt>
              <c:pt idx="119">
                <c:v>5274</c:v>
              </c:pt>
              <c:pt idx="120">
                <c:v>1384</c:v>
              </c:pt>
              <c:pt idx="121">
                <c:v>12936</c:v>
              </c:pt>
              <c:pt idx="122">
                <c:v>8967</c:v>
              </c:pt>
              <c:pt idx="123">
                <c:v>3725</c:v>
              </c:pt>
              <c:pt idx="124">
                <c:v>13972</c:v>
              </c:pt>
              <c:pt idx="125">
                <c:v>2870</c:v>
              </c:pt>
              <c:pt idx="126">
                <c:v>12392</c:v>
              </c:pt>
              <c:pt idx="127">
                <c:v>2703</c:v>
              </c:pt>
              <c:pt idx="128">
                <c:v>1015</c:v>
              </c:pt>
              <c:pt idx="129">
                <c:v>4794</c:v>
              </c:pt>
              <c:pt idx="130">
                <c:v>349</c:v>
              </c:pt>
              <c:pt idx="131">
                <c:v>2885</c:v>
              </c:pt>
              <c:pt idx="132">
                <c:v>27311</c:v>
              </c:pt>
              <c:pt idx="133">
                <c:v>265</c:v>
              </c:pt>
              <c:pt idx="134">
                <c:v>14180</c:v>
              </c:pt>
              <c:pt idx="135">
                <c:v>15340</c:v>
              </c:pt>
              <c:pt idx="136">
                <c:v>6936</c:v>
              </c:pt>
              <c:pt idx="137">
                <c:v>1194</c:v>
              </c:pt>
              <c:pt idx="138">
                <c:v>1730</c:v>
              </c:pt>
              <c:pt idx="139">
                <c:v>5832</c:v>
              </c:pt>
              <c:pt idx="140">
                <c:v>9032</c:v>
              </c:pt>
              <c:pt idx="141">
                <c:v>11483</c:v>
              </c:pt>
              <c:pt idx="142">
                <c:v>3210</c:v>
              </c:pt>
              <c:pt idx="143">
                <c:v>5588</c:v>
              </c:pt>
              <c:pt idx="144">
                <c:v>22370</c:v>
              </c:pt>
              <c:pt idx="145">
                <c:v>16745</c:v>
              </c:pt>
              <c:pt idx="146">
                <c:v>210</c:v>
              </c:pt>
              <c:pt idx="147">
                <c:v>1264</c:v>
              </c:pt>
              <c:pt idx="148">
                <c:v>10779</c:v>
              </c:pt>
              <c:pt idx="149">
                <c:v>1296</c:v>
              </c:pt>
              <c:pt idx="150">
                <c:v>5980</c:v>
              </c:pt>
              <c:pt idx="151">
                <c:v>8548</c:v>
              </c:pt>
              <c:pt idx="152">
                <c:v>7744</c:v>
              </c:pt>
              <c:pt idx="153">
                <c:v>2989</c:v>
              </c:pt>
              <c:pt idx="154">
                <c:v>7403</c:v>
              </c:pt>
              <c:pt idx="155">
                <c:v>9652</c:v>
              </c:pt>
              <c:pt idx="156">
                <c:v>1726</c:v>
              </c:pt>
              <c:pt idx="157">
                <c:v>3585</c:v>
              </c:pt>
              <c:pt idx="158">
                <c:v>14572</c:v>
              </c:pt>
              <c:pt idx="159">
                <c:v>16206</c:v>
              </c:pt>
              <c:pt idx="160">
                <c:v>16113</c:v>
              </c:pt>
              <c:pt idx="161">
                <c:v>2877</c:v>
              </c:pt>
              <c:pt idx="162">
                <c:v>1626</c:v>
              </c:pt>
              <c:pt idx="163">
                <c:v>14164</c:v>
              </c:pt>
              <c:pt idx="164">
                <c:v>14338</c:v>
              </c:pt>
              <c:pt idx="165">
                <c:v>15898</c:v>
              </c:pt>
              <c:pt idx="166">
                <c:v>7830</c:v>
              </c:pt>
              <c:pt idx="167">
                <c:v>11574</c:v>
              </c:pt>
              <c:pt idx="168">
                <c:v>3418</c:v>
              </c:pt>
              <c:pt idx="169">
                <c:v>7266</c:v>
              </c:pt>
              <c:pt idx="170">
                <c:v>12496</c:v>
              </c:pt>
              <c:pt idx="171">
                <c:v>7338</c:v>
              </c:pt>
              <c:pt idx="172">
                <c:v>18258</c:v>
              </c:pt>
              <c:pt idx="173">
                <c:v>18150</c:v>
              </c:pt>
              <c:pt idx="174">
                <c:v>12651</c:v>
              </c:pt>
              <c:pt idx="175">
                <c:v>19973</c:v>
              </c:pt>
              <c:pt idx="176">
                <c:v>3230</c:v>
              </c:pt>
              <c:pt idx="177">
                <c:v>2208</c:v>
              </c:pt>
              <c:pt idx="178">
                <c:v>6528</c:v>
              </c:pt>
              <c:pt idx="179">
                <c:v>7180</c:v>
              </c:pt>
              <c:pt idx="180">
                <c:v>16590</c:v>
              </c:pt>
              <c:pt idx="181">
                <c:v>6462</c:v>
              </c:pt>
              <c:pt idx="182">
                <c:v>874</c:v>
              </c:pt>
              <c:pt idx="183">
                <c:v>13305</c:v>
              </c:pt>
              <c:pt idx="184">
                <c:v>251</c:v>
              </c:pt>
              <c:pt idx="185">
                <c:v>4984</c:v>
              </c:pt>
              <c:pt idx="186">
                <c:v>6642</c:v>
              </c:pt>
              <c:pt idx="187">
                <c:v>4332</c:v>
              </c:pt>
              <c:pt idx="188">
                <c:v>8030</c:v>
              </c:pt>
              <c:pt idx="189">
                <c:v>11954</c:v>
              </c:pt>
              <c:pt idx="190">
                <c:v>4554</c:v>
              </c:pt>
              <c:pt idx="191">
                <c:v>19766</c:v>
              </c:pt>
              <c:pt idx="192">
                <c:v>10222</c:v>
              </c:pt>
              <c:pt idx="193">
                <c:v>9448</c:v>
              </c:pt>
              <c:pt idx="194">
                <c:v>1541</c:v>
              </c:pt>
              <c:pt idx="195">
                <c:v>430</c:v>
              </c:pt>
              <c:pt idx="196">
                <c:v>12540</c:v>
              </c:pt>
              <c:pt idx="197">
                <c:v>10280</c:v>
              </c:pt>
              <c:pt idx="198">
                <c:v>1955</c:v>
              </c:pt>
              <c:pt idx="199">
                <c:v>35398</c:v>
              </c:pt>
              <c:pt idx="200">
                <c:v>17461</c:v>
              </c:pt>
              <c:pt idx="201">
                <c:v>9730</c:v>
              </c:pt>
              <c:pt idx="202">
                <c:v>17829</c:v>
              </c:pt>
              <c:pt idx="203">
                <c:v>8197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565-465C-A4A0-DEA13ABEC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545392"/>
        <c:axId val="2083539632"/>
      </c:lineChart>
      <c:catAx>
        <c:axId val="208354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39632"/>
        <c:crosses val="autoZero"/>
        <c:auto val="1"/>
        <c:lblAlgn val="ctr"/>
        <c:lblOffset val="100"/>
        <c:noMultiLvlLbl val="0"/>
      </c:catAx>
      <c:valAx>
        <c:axId val="208353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4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[vendas_loja.xlsx]ANALISE DE DADOS!Tabela dinâmica11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DE DADOS'!$K$10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DE DADOS'!$J$11:$J$15</c:f>
              <c:strCache>
                <c:ptCount val="4"/>
                <c:pt idx="0">
                  <c:v>Armazenamento</c:v>
                </c:pt>
                <c:pt idx="1">
                  <c:v>Eletrônicos</c:v>
                </c:pt>
                <c:pt idx="2">
                  <c:v>Móveis</c:v>
                </c:pt>
                <c:pt idx="3">
                  <c:v>Periféricos</c:v>
                </c:pt>
              </c:strCache>
            </c:strRef>
          </c:cat>
          <c:val>
            <c:numRef>
              <c:f>'ANALISE DE DADOS'!$K$11:$K$15</c:f>
              <c:numCache>
                <c:formatCode>General</c:formatCode>
                <c:ptCount val="4"/>
                <c:pt idx="0">
                  <c:v>180634</c:v>
                </c:pt>
                <c:pt idx="1">
                  <c:v>99840</c:v>
                </c:pt>
                <c:pt idx="2">
                  <c:v>20758</c:v>
                </c:pt>
                <c:pt idx="3">
                  <c:v>184449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9-422F-8863-571A5B38C0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714790368"/>
        <c:axId val="1579759088"/>
      </c:barChart>
      <c:catAx>
        <c:axId val="17147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9759088"/>
        <c:crosses val="autoZero"/>
        <c:auto val="1"/>
        <c:lblAlgn val="ctr"/>
        <c:lblOffset val="100"/>
        <c:noMultiLvlLbl val="0"/>
      </c:catAx>
      <c:valAx>
        <c:axId val="157975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79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[vendas_loja.xlsx]ANALISE DE DADOS!Tabela dinâmica1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'ANALISE DE DADOS'!$Q$25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DE DADOS'!$P$26:$P$36</c:f>
              <c:strCache>
                <c:ptCount val="10"/>
                <c:pt idx="0">
                  <c:v>Cadeira Gamer</c:v>
                </c:pt>
                <c:pt idx="1">
                  <c:v>HD Externo</c:v>
                </c:pt>
                <c:pt idx="2">
                  <c:v>Headset</c:v>
                </c:pt>
                <c:pt idx="3">
                  <c:v>Monitor</c:v>
                </c:pt>
                <c:pt idx="4">
                  <c:v>Mouse</c:v>
                </c:pt>
                <c:pt idx="5">
                  <c:v>Notebook</c:v>
                </c:pt>
                <c:pt idx="6">
                  <c:v>Pen Drive</c:v>
                </c:pt>
                <c:pt idx="7">
                  <c:v>SSD</c:v>
                </c:pt>
                <c:pt idx="8">
                  <c:v>Teclado</c:v>
                </c:pt>
                <c:pt idx="9">
                  <c:v>Webcam</c:v>
                </c:pt>
              </c:strCache>
            </c:strRef>
          </c:cat>
          <c:val>
            <c:numRef>
              <c:f>'ANALISE DE DADOS'!$Q$26:$Q$36</c:f>
              <c:numCache>
                <c:formatCode>General</c:formatCode>
                <c:ptCount val="10"/>
                <c:pt idx="0">
                  <c:v>20758</c:v>
                </c:pt>
                <c:pt idx="1">
                  <c:v>78794</c:v>
                </c:pt>
                <c:pt idx="2">
                  <c:v>49242</c:v>
                </c:pt>
                <c:pt idx="3">
                  <c:v>32151</c:v>
                </c:pt>
                <c:pt idx="4">
                  <c:v>48146</c:v>
                </c:pt>
                <c:pt idx="5">
                  <c:v>67689</c:v>
                </c:pt>
                <c:pt idx="6">
                  <c:v>66584</c:v>
                </c:pt>
                <c:pt idx="7">
                  <c:v>35256</c:v>
                </c:pt>
                <c:pt idx="8">
                  <c:v>42270</c:v>
                </c:pt>
                <c:pt idx="9">
                  <c:v>44791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9-4E8D-9111-7B4D15D7FF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3554992"/>
        <c:axId val="2083534352"/>
      </c:barChart>
      <c:catAx>
        <c:axId val="208355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34352"/>
        <c:crosses val="autoZero"/>
        <c:auto val="1"/>
        <c:lblAlgn val="ctr"/>
        <c:lblOffset val="100"/>
        <c:noMultiLvlLbl val="0"/>
      </c:catAx>
      <c:valAx>
        <c:axId val="2083534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5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04"/>
              <c:pt idx="0">
                <c:v>Agrupar1 2025-01-02</c:v>
              </c:pt>
              <c:pt idx="1">
                <c:v>Agrupar1 2025-01-03</c:v>
              </c:pt>
              <c:pt idx="2">
                <c:v>Agrupar1 2025-01-07</c:v>
              </c:pt>
              <c:pt idx="3">
                <c:v>Agrupar1 2025-01-08</c:v>
              </c:pt>
              <c:pt idx="4">
                <c:v>Agrupar1 2025-01-09</c:v>
              </c:pt>
              <c:pt idx="5">
                <c:v>Agrupar1 2025-01-10</c:v>
              </c:pt>
              <c:pt idx="6">
                <c:v>Agrupar1 2025-01-11</c:v>
              </c:pt>
              <c:pt idx="7">
                <c:v>Agrupar1 2025-01-12</c:v>
              </c:pt>
              <c:pt idx="8">
                <c:v>Agrupar1 2025-01-13</c:v>
              </c:pt>
              <c:pt idx="9">
                <c:v>Agrupar1 2025-01-17</c:v>
              </c:pt>
              <c:pt idx="10">
                <c:v>Agrupar1 2025-01-21</c:v>
              </c:pt>
              <c:pt idx="11">
                <c:v>Agrupar1 2025-01-25</c:v>
              </c:pt>
              <c:pt idx="12">
                <c:v>Agrupar1 2025-01-26</c:v>
              </c:pt>
              <c:pt idx="13">
                <c:v>Agrupar1 2025-01-27</c:v>
              </c:pt>
              <c:pt idx="14">
                <c:v>Agrupar1 2025-01-28</c:v>
              </c:pt>
              <c:pt idx="15">
                <c:v>Agrupar1 2025-02-02</c:v>
              </c:pt>
              <c:pt idx="16">
                <c:v>Agrupar1 2025-02-03</c:v>
              </c:pt>
              <c:pt idx="17">
                <c:v>Agrupar1 2025-02-04</c:v>
              </c:pt>
              <c:pt idx="18">
                <c:v>Agrupar1 2025-02-05</c:v>
              </c:pt>
              <c:pt idx="19">
                <c:v>Agrupar1 2025-02-06</c:v>
              </c:pt>
              <c:pt idx="20">
                <c:v>Agrupar1 2025-02-07</c:v>
              </c:pt>
              <c:pt idx="21">
                <c:v>Agrupar1 2025-02-08</c:v>
              </c:pt>
              <c:pt idx="22">
                <c:v>Agrupar1 2025-02-09</c:v>
              </c:pt>
              <c:pt idx="23">
                <c:v>Agrupar1 2025-02-11</c:v>
              </c:pt>
              <c:pt idx="24">
                <c:v>Agrupar1 2025-02-12</c:v>
              </c:pt>
              <c:pt idx="25">
                <c:v>Agrupar1 2025-02-13</c:v>
              </c:pt>
              <c:pt idx="26">
                <c:v>Agrupar1 2025-02-14</c:v>
              </c:pt>
              <c:pt idx="27">
                <c:v>Agrupar1 2025-02-15</c:v>
              </c:pt>
              <c:pt idx="28">
                <c:v>Agrupar1 2025-02-16</c:v>
              </c:pt>
              <c:pt idx="29">
                <c:v>Agrupar1 2025-02-18</c:v>
              </c:pt>
              <c:pt idx="30">
                <c:v>Agrupar1 2025-02-20</c:v>
              </c:pt>
              <c:pt idx="31">
                <c:v>Agrupar1 2025-02-22</c:v>
              </c:pt>
              <c:pt idx="32">
                <c:v>Agrupar1 2025-02-23</c:v>
              </c:pt>
              <c:pt idx="33">
                <c:v>Agrupar1 2025-03-03</c:v>
              </c:pt>
              <c:pt idx="34">
                <c:v>Agrupar1 2025-03-04</c:v>
              </c:pt>
              <c:pt idx="35">
                <c:v>Agrupar1 2025-03-06</c:v>
              </c:pt>
              <c:pt idx="36">
                <c:v>Agrupar1 2025-03-08</c:v>
              </c:pt>
              <c:pt idx="37">
                <c:v>Agrupar1 2025-03-09</c:v>
              </c:pt>
              <c:pt idx="38">
                <c:v>Agrupar1 2025-03-10</c:v>
              </c:pt>
              <c:pt idx="39">
                <c:v>Agrupar1 2025-03-11</c:v>
              </c:pt>
              <c:pt idx="40">
                <c:v>Agrupar1 2025-03-13</c:v>
              </c:pt>
              <c:pt idx="41">
                <c:v>Agrupar1 2025-03-14</c:v>
              </c:pt>
              <c:pt idx="42">
                <c:v>Agrupar1 2025-03-15</c:v>
              </c:pt>
              <c:pt idx="43">
                <c:v>Agrupar1 2025-03-16</c:v>
              </c:pt>
              <c:pt idx="44">
                <c:v>Agrupar1 2025-03-17</c:v>
              </c:pt>
              <c:pt idx="45">
                <c:v>Agrupar1 2025-03-18</c:v>
              </c:pt>
              <c:pt idx="46">
                <c:v>Agrupar1 2025-03-20</c:v>
              </c:pt>
              <c:pt idx="47">
                <c:v>Agrupar1 2025-03-21</c:v>
              </c:pt>
              <c:pt idx="48">
                <c:v>Agrupar1 2025-03-22</c:v>
              </c:pt>
              <c:pt idx="49">
                <c:v>Agrupar1 2025-03-24</c:v>
              </c:pt>
              <c:pt idx="50">
                <c:v>Agrupar1 2025-03-25</c:v>
              </c:pt>
              <c:pt idx="51">
                <c:v>Agrupar1 2025-03-26</c:v>
              </c:pt>
              <c:pt idx="52">
                <c:v>Agrupar1 2025-03-28</c:v>
              </c:pt>
              <c:pt idx="53">
                <c:v>Agrupar1 2025-03-29</c:v>
              </c:pt>
              <c:pt idx="54">
                <c:v>Agrupar1 2025-03-30</c:v>
              </c:pt>
              <c:pt idx="55">
                <c:v>Agrupar1 2025-04-06</c:v>
              </c:pt>
              <c:pt idx="56">
                <c:v>Agrupar1 2025-04-07</c:v>
              </c:pt>
              <c:pt idx="57">
                <c:v>Agrupar1 2025-04-09</c:v>
              </c:pt>
              <c:pt idx="58">
                <c:v>Agrupar1 2025-04-13</c:v>
              </c:pt>
              <c:pt idx="59">
                <c:v>Agrupar1 2025-04-17</c:v>
              </c:pt>
              <c:pt idx="60">
                <c:v>Agrupar1 2025-04-20</c:v>
              </c:pt>
              <c:pt idx="61">
                <c:v>Agrupar1 2025-04-21</c:v>
              </c:pt>
              <c:pt idx="62">
                <c:v>Agrupar1 2025-04-22</c:v>
              </c:pt>
              <c:pt idx="63">
                <c:v>Agrupar1 2025-04-25</c:v>
              </c:pt>
              <c:pt idx="64">
                <c:v>Agrupar1 2025-04-26</c:v>
              </c:pt>
              <c:pt idx="65">
                <c:v>Agrupar1 2025-04-27</c:v>
              </c:pt>
              <c:pt idx="66">
                <c:v>Agrupar1 2025-04-28</c:v>
              </c:pt>
              <c:pt idx="67">
                <c:v>Agrupar1 2025-04-29</c:v>
              </c:pt>
              <c:pt idx="68">
                <c:v>Agrupar1 2025-04-30</c:v>
              </c:pt>
              <c:pt idx="69">
                <c:v>Agrupar1 2025-05-01</c:v>
              </c:pt>
              <c:pt idx="70">
                <c:v>Agrupar1 2025-05-04</c:v>
              </c:pt>
              <c:pt idx="71">
                <c:v>Agrupar1 2025-05-08</c:v>
              </c:pt>
              <c:pt idx="72">
                <c:v>Agrupar1 2025-05-09</c:v>
              </c:pt>
              <c:pt idx="73">
                <c:v>Agrupar1 2025-05-10</c:v>
              </c:pt>
              <c:pt idx="74">
                <c:v>Agrupar1 2025-05-12</c:v>
              </c:pt>
              <c:pt idx="75">
                <c:v>Agrupar1 2025-05-13</c:v>
              </c:pt>
              <c:pt idx="76">
                <c:v>Agrupar1 2025-05-14</c:v>
              </c:pt>
              <c:pt idx="77">
                <c:v>Agrupar1 2025-05-17</c:v>
              </c:pt>
              <c:pt idx="78">
                <c:v>Agrupar1 2025-05-18</c:v>
              </c:pt>
              <c:pt idx="79">
                <c:v>Agrupar1 2025-05-20</c:v>
              </c:pt>
              <c:pt idx="80">
                <c:v>Agrupar1 2025-05-22</c:v>
              </c:pt>
              <c:pt idx="81">
                <c:v>Agrupar1 2025-05-23</c:v>
              </c:pt>
              <c:pt idx="82">
                <c:v>Agrupar1 2025-05-24</c:v>
              </c:pt>
              <c:pt idx="83">
                <c:v>Agrupar1 2025-05-25</c:v>
              </c:pt>
              <c:pt idx="84">
                <c:v>Agrupar1 2025-05-26</c:v>
              </c:pt>
              <c:pt idx="85">
                <c:v>Agrupar1 2025-05-28</c:v>
              </c:pt>
              <c:pt idx="86">
                <c:v>Agrupar1 2025-05-30</c:v>
              </c:pt>
              <c:pt idx="87">
                <c:v>Agrupar1 2025-06-05</c:v>
              </c:pt>
              <c:pt idx="88">
                <c:v>Agrupar1 2025-06-08</c:v>
              </c:pt>
              <c:pt idx="89">
                <c:v>Agrupar1 2025-06-11</c:v>
              </c:pt>
              <c:pt idx="90">
                <c:v>Agrupar1 2025-06-12</c:v>
              </c:pt>
              <c:pt idx="91">
                <c:v>Agrupar1 2025-06-15</c:v>
              </c:pt>
              <c:pt idx="92">
                <c:v>Agrupar1 2025-06-16</c:v>
              </c:pt>
              <c:pt idx="93">
                <c:v>Agrupar1 2025-06-18</c:v>
              </c:pt>
              <c:pt idx="94">
                <c:v>Agrupar1 2025-06-23</c:v>
              </c:pt>
              <c:pt idx="95">
                <c:v>Agrupar1 2025-06-24</c:v>
              </c:pt>
              <c:pt idx="96">
                <c:v>Agrupar1 2025-06-27</c:v>
              </c:pt>
              <c:pt idx="97">
                <c:v>Agrupar1 2025-06-30</c:v>
              </c:pt>
              <c:pt idx="98">
                <c:v>Agrupar1 2025-07-01</c:v>
              </c:pt>
              <c:pt idx="99">
                <c:v>Agrupar1 2025-07-03</c:v>
              </c:pt>
              <c:pt idx="100">
                <c:v>Agrupar1 2025-07-07</c:v>
              </c:pt>
              <c:pt idx="101">
                <c:v>Agrupar1 2025-07-12</c:v>
              </c:pt>
              <c:pt idx="102">
                <c:v>Agrupar1 2025-07-13</c:v>
              </c:pt>
              <c:pt idx="103">
                <c:v>Agrupar1 2025-07-14</c:v>
              </c:pt>
              <c:pt idx="104">
                <c:v>Agrupar1 2025-07-17</c:v>
              </c:pt>
              <c:pt idx="105">
                <c:v>Agrupar1 2025-07-19</c:v>
              </c:pt>
              <c:pt idx="106">
                <c:v>Agrupar1 2025-07-20</c:v>
              </c:pt>
              <c:pt idx="107">
                <c:v>Agrupar1 2025-07-21</c:v>
              </c:pt>
              <c:pt idx="108">
                <c:v>Agrupar1 2025-07-22</c:v>
              </c:pt>
              <c:pt idx="109">
                <c:v>Agrupar1 2025-07-24</c:v>
              </c:pt>
              <c:pt idx="110">
                <c:v>Agrupar1 2025-07-26</c:v>
              </c:pt>
              <c:pt idx="111">
                <c:v>Agrupar1 2025-07-27</c:v>
              </c:pt>
              <c:pt idx="112">
                <c:v>Agrupar1 2025-07-29</c:v>
              </c:pt>
              <c:pt idx="113">
                <c:v>Agrupar1 2025-07-30</c:v>
              </c:pt>
              <c:pt idx="114">
                <c:v>Agrupar1 2025-07-31</c:v>
              </c:pt>
              <c:pt idx="115">
                <c:v>Agrupar1 2025-08-01</c:v>
              </c:pt>
              <c:pt idx="116">
                <c:v>Agrupar1 2025-08-03</c:v>
              </c:pt>
              <c:pt idx="117">
                <c:v>Agrupar1 2025-08-04</c:v>
              </c:pt>
              <c:pt idx="118">
                <c:v>Agrupar1 2025-08-05</c:v>
              </c:pt>
              <c:pt idx="119">
                <c:v>Agrupar1 2025-08-06</c:v>
              </c:pt>
              <c:pt idx="120">
                <c:v>Agrupar1 2025-08-07</c:v>
              </c:pt>
              <c:pt idx="121">
                <c:v>Agrupar1 2025-08-09</c:v>
              </c:pt>
              <c:pt idx="122">
                <c:v>Agrupar1 2025-08-10</c:v>
              </c:pt>
              <c:pt idx="123">
                <c:v>Agrupar1 2025-08-12</c:v>
              </c:pt>
              <c:pt idx="124">
                <c:v>Agrupar1 2025-08-18</c:v>
              </c:pt>
              <c:pt idx="125">
                <c:v>Agrupar1 2025-08-20</c:v>
              </c:pt>
              <c:pt idx="126">
                <c:v>Agrupar1 2025-08-23</c:v>
              </c:pt>
              <c:pt idx="127">
                <c:v>Agrupar1 2025-08-24</c:v>
              </c:pt>
              <c:pt idx="128">
                <c:v>Agrupar1 2025-08-25</c:v>
              </c:pt>
              <c:pt idx="129">
                <c:v>Agrupar1 2025-08-26</c:v>
              </c:pt>
              <c:pt idx="130">
                <c:v>Agrupar1 2025-08-27</c:v>
              </c:pt>
              <c:pt idx="131">
                <c:v>Agrupar1 2025-08-29</c:v>
              </c:pt>
              <c:pt idx="132">
                <c:v>Agrupar1 2025-08-30</c:v>
              </c:pt>
              <c:pt idx="133">
                <c:v>Agrupar1 2025-09-01</c:v>
              </c:pt>
              <c:pt idx="134">
                <c:v>Agrupar1 2025-09-02</c:v>
              </c:pt>
              <c:pt idx="135">
                <c:v>Agrupar1 2025-09-03</c:v>
              </c:pt>
              <c:pt idx="136">
                <c:v>Agrupar1 2025-09-04</c:v>
              </c:pt>
              <c:pt idx="137">
                <c:v>Agrupar1 2025-09-05</c:v>
              </c:pt>
              <c:pt idx="138">
                <c:v>Agrupar1 2025-09-08</c:v>
              </c:pt>
              <c:pt idx="139">
                <c:v>Agrupar1 2025-09-09</c:v>
              </c:pt>
              <c:pt idx="140">
                <c:v>Agrupar1 2025-09-10</c:v>
              </c:pt>
              <c:pt idx="141">
                <c:v>Agrupar1 2025-09-12</c:v>
              </c:pt>
              <c:pt idx="142">
                <c:v>Agrupar1 2025-09-14</c:v>
              </c:pt>
              <c:pt idx="143">
                <c:v>Agrupar1 2025-09-15</c:v>
              </c:pt>
              <c:pt idx="144">
                <c:v>Agrupar1 2025-09-16</c:v>
              </c:pt>
              <c:pt idx="145">
                <c:v>Agrupar1 2025-09-17</c:v>
              </c:pt>
              <c:pt idx="146">
                <c:v>Agrupar1 2025-09-18</c:v>
              </c:pt>
              <c:pt idx="147">
                <c:v>Agrupar1 2025-09-19</c:v>
              </c:pt>
              <c:pt idx="148">
                <c:v>Agrupar1 2025-09-22</c:v>
              </c:pt>
              <c:pt idx="149">
                <c:v>Agrupar1 2025-09-23</c:v>
              </c:pt>
              <c:pt idx="150">
                <c:v>Agrupar1 2025-09-24</c:v>
              </c:pt>
              <c:pt idx="151">
                <c:v>Agrupar1 2025-09-25</c:v>
              </c:pt>
              <c:pt idx="152">
                <c:v>Agrupar1 2025-09-27</c:v>
              </c:pt>
              <c:pt idx="153">
                <c:v>Agrupar1 2025-09-28</c:v>
              </c:pt>
              <c:pt idx="154">
                <c:v>Agrupar1 2025-10-01</c:v>
              </c:pt>
              <c:pt idx="155">
                <c:v>Agrupar1 2025-10-03</c:v>
              </c:pt>
              <c:pt idx="156">
                <c:v>Agrupar1 2025-10-04</c:v>
              </c:pt>
              <c:pt idx="157">
                <c:v>Agrupar1 2025-10-08</c:v>
              </c:pt>
              <c:pt idx="158">
                <c:v>Agrupar1 2025-10-09</c:v>
              </c:pt>
              <c:pt idx="159">
                <c:v>Agrupar1 2025-10-14</c:v>
              </c:pt>
              <c:pt idx="160">
                <c:v>Agrupar1 2025-10-17</c:v>
              </c:pt>
              <c:pt idx="161">
                <c:v>Agrupar1 2025-10-18</c:v>
              </c:pt>
              <c:pt idx="162">
                <c:v>Agrupar1 2025-10-19</c:v>
              </c:pt>
              <c:pt idx="163">
                <c:v>Agrupar1 2025-10-22</c:v>
              </c:pt>
              <c:pt idx="164">
                <c:v>Agrupar1 2025-10-23</c:v>
              </c:pt>
              <c:pt idx="165">
                <c:v>Agrupar1 2025-10-24</c:v>
              </c:pt>
              <c:pt idx="166">
                <c:v>Agrupar1 2025-10-28</c:v>
              </c:pt>
              <c:pt idx="167">
                <c:v>Agrupar1 2025-10-29</c:v>
              </c:pt>
              <c:pt idx="168">
                <c:v>Agrupar1 2025-10-30</c:v>
              </c:pt>
              <c:pt idx="169">
                <c:v>Agrupar1 2025-11-02</c:v>
              </c:pt>
              <c:pt idx="170">
                <c:v>Agrupar1 2025-11-03</c:v>
              </c:pt>
              <c:pt idx="171">
                <c:v>Agrupar1 2025-11-05</c:v>
              </c:pt>
              <c:pt idx="172">
                <c:v>Agrupar1 2025-11-08</c:v>
              </c:pt>
              <c:pt idx="173">
                <c:v>Agrupar1 2025-11-09</c:v>
              </c:pt>
              <c:pt idx="174">
                <c:v>Agrupar1 2025-11-10</c:v>
              </c:pt>
              <c:pt idx="175">
                <c:v>Agrupar1 2025-11-11</c:v>
              </c:pt>
              <c:pt idx="176">
                <c:v>Agrupar1 2025-11-12</c:v>
              </c:pt>
              <c:pt idx="177">
                <c:v>Agrupar1 2025-11-13</c:v>
              </c:pt>
              <c:pt idx="178">
                <c:v>Agrupar1 2025-11-14</c:v>
              </c:pt>
              <c:pt idx="179">
                <c:v>Agrupar1 2025-11-16</c:v>
              </c:pt>
              <c:pt idx="180">
                <c:v>Agrupar1 2025-11-17</c:v>
              </c:pt>
              <c:pt idx="181">
                <c:v>Agrupar1 2025-11-19</c:v>
              </c:pt>
              <c:pt idx="182">
                <c:v>Agrupar1 2025-11-20</c:v>
              </c:pt>
              <c:pt idx="183">
                <c:v>Agrupar1 2025-11-21</c:v>
              </c:pt>
              <c:pt idx="184">
                <c:v>Agrupar1 2025-11-22</c:v>
              </c:pt>
              <c:pt idx="185">
                <c:v>Agrupar1 2025-11-23</c:v>
              </c:pt>
              <c:pt idx="186">
                <c:v>Agrupar1 2025-11-27</c:v>
              </c:pt>
              <c:pt idx="187">
                <c:v>Agrupar1 2025-11-29</c:v>
              </c:pt>
              <c:pt idx="188">
                <c:v>Agrupar1 2025-12-01</c:v>
              </c:pt>
              <c:pt idx="189">
                <c:v>Agrupar1 2025-12-03</c:v>
              </c:pt>
              <c:pt idx="190">
                <c:v>Agrupar1 2025-12-04</c:v>
              </c:pt>
              <c:pt idx="191">
                <c:v>Agrupar1 2025-12-05</c:v>
              </c:pt>
              <c:pt idx="192">
                <c:v>Agrupar1 2025-12-06</c:v>
              </c:pt>
              <c:pt idx="193">
                <c:v>Agrupar1 2025-12-07</c:v>
              </c:pt>
              <c:pt idx="194">
                <c:v>Agrupar1 2025-12-09</c:v>
              </c:pt>
              <c:pt idx="195">
                <c:v>Agrupar1 2025-12-10</c:v>
              </c:pt>
              <c:pt idx="196">
                <c:v>Agrupar1 2025-12-13</c:v>
              </c:pt>
              <c:pt idx="197">
                <c:v>Agrupar1 2025-12-14</c:v>
              </c:pt>
              <c:pt idx="198">
                <c:v>Agrupar1 2025-12-18</c:v>
              </c:pt>
              <c:pt idx="199">
                <c:v>Agrupar1 2025-12-20</c:v>
              </c:pt>
              <c:pt idx="200">
                <c:v>Agrupar1 2025-12-21</c:v>
              </c:pt>
              <c:pt idx="201">
                <c:v>Agrupar1 2025-12-26</c:v>
              </c:pt>
              <c:pt idx="202">
                <c:v>Agrupar1 2025-12-30</c:v>
              </c:pt>
              <c:pt idx="203">
                <c:v>Agrupar1 2025-12-31</c:v>
              </c:pt>
            </c:strLit>
          </c:cat>
          <c:val>
            <c:numLit>
              <c:formatCode>General</c:formatCode>
              <c:ptCount val="204"/>
              <c:pt idx="0">
                <c:v>6384</c:v>
              </c:pt>
              <c:pt idx="1">
                <c:v>14020</c:v>
              </c:pt>
              <c:pt idx="2">
                <c:v>16677</c:v>
              </c:pt>
              <c:pt idx="3">
                <c:v>10716</c:v>
              </c:pt>
              <c:pt idx="4">
                <c:v>18771</c:v>
              </c:pt>
              <c:pt idx="5">
                <c:v>16778</c:v>
              </c:pt>
              <c:pt idx="6">
                <c:v>4628</c:v>
              </c:pt>
              <c:pt idx="7">
                <c:v>4586</c:v>
              </c:pt>
              <c:pt idx="8">
                <c:v>2899</c:v>
              </c:pt>
              <c:pt idx="9">
                <c:v>2913</c:v>
              </c:pt>
              <c:pt idx="10">
                <c:v>660</c:v>
              </c:pt>
              <c:pt idx="11">
                <c:v>1020</c:v>
              </c:pt>
              <c:pt idx="12">
                <c:v>9117</c:v>
              </c:pt>
              <c:pt idx="13">
                <c:v>14604</c:v>
              </c:pt>
              <c:pt idx="14">
                <c:v>784</c:v>
              </c:pt>
              <c:pt idx="15">
                <c:v>19260</c:v>
              </c:pt>
              <c:pt idx="16">
                <c:v>6065</c:v>
              </c:pt>
              <c:pt idx="17">
                <c:v>10251</c:v>
              </c:pt>
              <c:pt idx="18">
                <c:v>13516</c:v>
              </c:pt>
              <c:pt idx="19">
                <c:v>3800</c:v>
              </c:pt>
              <c:pt idx="20">
                <c:v>1712</c:v>
              </c:pt>
              <c:pt idx="21">
                <c:v>10375</c:v>
              </c:pt>
              <c:pt idx="22">
                <c:v>18869</c:v>
              </c:pt>
              <c:pt idx="23">
                <c:v>8455</c:v>
              </c:pt>
              <c:pt idx="24">
                <c:v>5064</c:v>
              </c:pt>
              <c:pt idx="25">
                <c:v>18378</c:v>
              </c:pt>
              <c:pt idx="26">
                <c:v>4484</c:v>
              </c:pt>
              <c:pt idx="27">
                <c:v>5252</c:v>
              </c:pt>
              <c:pt idx="28">
                <c:v>4025</c:v>
              </c:pt>
              <c:pt idx="29">
                <c:v>7670</c:v>
              </c:pt>
              <c:pt idx="30">
                <c:v>28784</c:v>
              </c:pt>
              <c:pt idx="31">
                <c:v>12593</c:v>
              </c:pt>
              <c:pt idx="32">
                <c:v>612</c:v>
              </c:pt>
              <c:pt idx="33">
                <c:v>6494</c:v>
              </c:pt>
              <c:pt idx="34">
                <c:v>17155</c:v>
              </c:pt>
              <c:pt idx="35">
                <c:v>14490</c:v>
              </c:pt>
              <c:pt idx="36">
                <c:v>6480</c:v>
              </c:pt>
              <c:pt idx="37">
                <c:v>20531</c:v>
              </c:pt>
              <c:pt idx="38">
                <c:v>2425</c:v>
              </c:pt>
              <c:pt idx="39">
                <c:v>19169</c:v>
              </c:pt>
              <c:pt idx="40">
                <c:v>8521</c:v>
              </c:pt>
              <c:pt idx="41">
                <c:v>20099</c:v>
              </c:pt>
              <c:pt idx="42">
                <c:v>4714</c:v>
              </c:pt>
              <c:pt idx="43">
                <c:v>6634</c:v>
              </c:pt>
              <c:pt idx="44">
                <c:v>6316</c:v>
              </c:pt>
              <c:pt idx="45">
                <c:v>12630</c:v>
              </c:pt>
              <c:pt idx="46">
                <c:v>970</c:v>
              </c:pt>
              <c:pt idx="47">
                <c:v>10045</c:v>
              </c:pt>
              <c:pt idx="48">
                <c:v>21586</c:v>
              </c:pt>
              <c:pt idx="49">
                <c:v>620</c:v>
              </c:pt>
              <c:pt idx="50">
                <c:v>11349</c:v>
              </c:pt>
              <c:pt idx="51">
                <c:v>10791</c:v>
              </c:pt>
              <c:pt idx="52">
                <c:v>1838</c:v>
              </c:pt>
              <c:pt idx="53">
                <c:v>7722</c:v>
              </c:pt>
              <c:pt idx="54">
                <c:v>2040</c:v>
              </c:pt>
              <c:pt idx="55">
                <c:v>932</c:v>
              </c:pt>
              <c:pt idx="56">
                <c:v>9520</c:v>
              </c:pt>
              <c:pt idx="57">
                <c:v>2176</c:v>
              </c:pt>
              <c:pt idx="58">
                <c:v>17600</c:v>
              </c:pt>
              <c:pt idx="59">
                <c:v>7086</c:v>
              </c:pt>
              <c:pt idx="60">
                <c:v>1575</c:v>
              </c:pt>
              <c:pt idx="61">
                <c:v>6996</c:v>
              </c:pt>
              <c:pt idx="62">
                <c:v>913</c:v>
              </c:pt>
              <c:pt idx="63">
                <c:v>2480</c:v>
              </c:pt>
              <c:pt idx="64">
                <c:v>3019</c:v>
              </c:pt>
              <c:pt idx="65">
                <c:v>5058</c:v>
              </c:pt>
              <c:pt idx="66">
                <c:v>980</c:v>
              </c:pt>
              <c:pt idx="67">
                <c:v>11108</c:v>
              </c:pt>
              <c:pt idx="68">
                <c:v>21782</c:v>
              </c:pt>
              <c:pt idx="69">
                <c:v>4930</c:v>
              </c:pt>
              <c:pt idx="70">
                <c:v>2047</c:v>
              </c:pt>
              <c:pt idx="71">
                <c:v>6534</c:v>
              </c:pt>
              <c:pt idx="72">
                <c:v>2020</c:v>
              </c:pt>
              <c:pt idx="73">
                <c:v>422</c:v>
              </c:pt>
              <c:pt idx="74">
                <c:v>6720</c:v>
              </c:pt>
              <c:pt idx="75">
                <c:v>17977</c:v>
              </c:pt>
              <c:pt idx="76">
                <c:v>23269</c:v>
              </c:pt>
              <c:pt idx="77">
                <c:v>2166</c:v>
              </c:pt>
              <c:pt idx="78">
                <c:v>15076</c:v>
              </c:pt>
              <c:pt idx="79">
                <c:v>13270</c:v>
              </c:pt>
              <c:pt idx="80">
                <c:v>574</c:v>
              </c:pt>
              <c:pt idx="81">
                <c:v>9627</c:v>
              </c:pt>
              <c:pt idx="82">
                <c:v>12309</c:v>
              </c:pt>
              <c:pt idx="83">
                <c:v>194</c:v>
              </c:pt>
              <c:pt idx="84">
                <c:v>18367</c:v>
              </c:pt>
              <c:pt idx="85">
                <c:v>5822</c:v>
              </c:pt>
              <c:pt idx="86">
                <c:v>1573</c:v>
              </c:pt>
              <c:pt idx="87">
                <c:v>2345</c:v>
              </c:pt>
              <c:pt idx="88">
                <c:v>2568</c:v>
              </c:pt>
              <c:pt idx="89">
                <c:v>2880</c:v>
              </c:pt>
              <c:pt idx="90">
                <c:v>1870</c:v>
              </c:pt>
              <c:pt idx="91">
                <c:v>896</c:v>
              </c:pt>
              <c:pt idx="92">
                <c:v>9079</c:v>
              </c:pt>
              <c:pt idx="93">
                <c:v>7185</c:v>
              </c:pt>
              <c:pt idx="94">
                <c:v>1870</c:v>
              </c:pt>
              <c:pt idx="95">
                <c:v>13105</c:v>
              </c:pt>
              <c:pt idx="96">
                <c:v>16898</c:v>
              </c:pt>
              <c:pt idx="97">
                <c:v>2963</c:v>
              </c:pt>
              <c:pt idx="98">
                <c:v>11741</c:v>
              </c:pt>
              <c:pt idx="99">
                <c:v>10016</c:v>
              </c:pt>
              <c:pt idx="100">
                <c:v>6869</c:v>
              </c:pt>
              <c:pt idx="101">
                <c:v>2310</c:v>
              </c:pt>
              <c:pt idx="102">
                <c:v>5794</c:v>
              </c:pt>
              <c:pt idx="103">
                <c:v>13212</c:v>
              </c:pt>
              <c:pt idx="104">
                <c:v>3603</c:v>
              </c:pt>
              <c:pt idx="105">
                <c:v>6567</c:v>
              </c:pt>
              <c:pt idx="106">
                <c:v>5132</c:v>
              </c:pt>
              <c:pt idx="107">
                <c:v>14640</c:v>
              </c:pt>
              <c:pt idx="108">
                <c:v>3838</c:v>
              </c:pt>
              <c:pt idx="109">
                <c:v>11976</c:v>
              </c:pt>
              <c:pt idx="110">
                <c:v>24993</c:v>
              </c:pt>
              <c:pt idx="111">
                <c:v>18860</c:v>
              </c:pt>
              <c:pt idx="112">
                <c:v>956</c:v>
              </c:pt>
              <c:pt idx="113">
                <c:v>13917</c:v>
              </c:pt>
              <c:pt idx="114">
                <c:v>17931</c:v>
              </c:pt>
              <c:pt idx="115">
                <c:v>4982</c:v>
              </c:pt>
              <c:pt idx="116">
                <c:v>19245</c:v>
              </c:pt>
              <c:pt idx="117">
                <c:v>14869</c:v>
              </c:pt>
              <c:pt idx="118">
                <c:v>15344</c:v>
              </c:pt>
              <c:pt idx="119">
                <c:v>5274</c:v>
              </c:pt>
              <c:pt idx="120">
                <c:v>1384</c:v>
              </c:pt>
              <c:pt idx="121">
                <c:v>12936</c:v>
              </c:pt>
              <c:pt idx="122">
                <c:v>8967</c:v>
              </c:pt>
              <c:pt idx="123">
                <c:v>3725</c:v>
              </c:pt>
              <c:pt idx="124">
                <c:v>13972</c:v>
              </c:pt>
              <c:pt idx="125">
                <c:v>2870</c:v>
              </c:pt>
              <c:pt idx="126">
                <c:v>12392</c:v>
              </c:pt>
              <c:pt idx="127">
                <c:v>2703</c:v>
              </c:pt>
              <c:pt idx="128">
                <c:v>1015</c:v>
              </c:pt>
              <c:pt idx="129">
                <c:v>4794</c:v>
              </c:pt>
              <c:pt idx="130">
                <c:v>349</c:v>
              </c:pt>
              <c:pt idx="131">
                <c:v>2885</c:v>
              </c:pt>
              <c:pt idx="132">
                <c:v>27311</c:v>
              </c:pt>
              <c:pt idx="133">
                <c:v>265</c:v>
              </c:pt>
              <c:pt idx="134">
                <c:v>14180</c:v>
              </c:pt>
              <c:pt idx="135">
                <c:v>15340</c:v>
              </c:pt>
              <c:pt idx="136">
                <c:v>6936</c:v>
              </c:pt>
              <c:pt idx="137">
                <c:v>1194</c:v>
              </c:pt>
              <c:pt idx="138">
                <c:v>1730</c:v>
              </c:pt>
              <c:pt idx="139">
                <c:v>5832</c:v>
              </c:pt>
              <c:pt idx="140">
                <c:v>9032</c:v>
              </c:pt>
              <c:pt idx="141">
                <c:v>11483</c:v>
              </c:pt>
              <c:pt idx="142">
                <c:v>3210</c:v>
              </c:pt>
              <c:pt idx="143">
                <c:v>5588</c:v>
              </c:pt>
              <c:pt idx="144">
                <c:v>22370</c:v>
              </c:pt>
              <c:pt idx="145">
                <c:v>16745</c:v>
              </c:pt>
              <c:pt idx="146">
                <c:v>210</c:v>
              </c:pt>
              <c:pt idx="147">
                <c:v>1264</c:v>
              </c:pt>
              <c:pt idx="148">
                <c:v>10779</c:v>
              </c:pt>
              <c:pt idx="149">
                <c:v>1296</c:v>
              </c:pt>
              <c:pt idx="150">
                <c:v>5980</c:v>
              </c:pt>
              <c:pt idx="151">
                <c:v>8548</c:v>
              </c:pt>
              <c:pt idx="152">
                <c:v>7744</c:v>
              </c:pt>
              <c:pt idx="153">
                <c:v>2989</c:v>
              </c:pt>
              <c:pt idx="154">
                <c:v>7403</c:v>
              </c:pt>
              <c:pt idx="155">
                <c:v>9652</c:v>
              </c:pt>
              <c:pt idx="156">
                <c:v>1726</c:v>
              </c:pt>
              <c:pt idx="157">
                <c:v>3585</c:v>
              </c:pt>
              <c:pt idx="158">
                <c:v>14572</c:v>
              </c:pt>
              <c:pt idx="159">
                <c:v>16206</c:v>
              </c:pt>
              <c:pt idx="160">
                <c:v>16113</c:v>
              </c:pt>
              <c:pt idx="161">
                <c:v>2877</c:v>
              </c:pt>
              <c:pt idx="162">
                <c:v>1626</c:v>
              </c:pt>
              <c:pt idx="163">
                <c:v>14164</c:v>
              </c:pt>
              <c:pt idx="164">
                <c:v>14338</c:v>
              </c:pt>
              <c:pt idx="165">
                <c:v>15898</c:v>
              </c:pt>
              <c:pt idx="166">
                <c:v>7830</c:v>
              </c:pt>
              <c:pt idx="167">
                <c:v>11574</c:v>
              </c:pt>
              <c:pt idx="168">
                <c:v>3418</c:v>
              </c:pt>
              <c:pt idx="169">
                <c:v>7266</c:v>
              </c:pt>
              <c:pt idx="170">
                <c:v>12496</c:v>
              </c:pt>
              <c:pt idx="171">
                <c:v>7338</c:v>
              </c:pt>
              <c:pt idx="172">
                <c:v>18258</c:v>
              </c:pt>
              <c:pt idx="173">
                <c:v>18150</c:v>
              </c:pt>
              <c:pt idx="174">
                <c:v>12651</c:v>
              </c:pt>
              <c:pt idx="175">
                <c:v>19973</c:v>
              </c:pt>
              <c:pt idx="176">
                <c:v>3230</c:v>
              </c:pt>
              <c:pt idx="177">
                <c:v>2208</c:v>
              </c:pt>
              <c:pt idx="178">
                <c:v>6528</c:v>
              </c:pt>
              <c:pt idx="179">
                <c:v>7180</c:v>
              </c:pt>
              <c:pt idx="180">
                <c:v>16590</c:v>
              </c:pt>
              <c:pt idx="181">
                <c:v>6462</c:v>
              </c:pt>
              <c:pt idx="182">
                <c:v>874</c:v>
              </c:pt>
              <c:pt idx="183">
                <c:v>13305</c:v>
              </c:pt>
              <c:pt idx="184">
                <c:v>251</c:v>
              </c:pt>
              <c:pt idx="185">
                <c:v>4984</c:v>
              </c:pt>
              <c:pt idx="186">
                <c:v>6642</c:v>
              </c:pt>
              <c:pt idx="187">
                <c:v>4332</c:v>
              </c:pt>
              <c:pt idx="188">
                <c:v>8030</c:v>
              </c:pt>
              <c:pt idx="189">
                <c:v>11954</c:v>
              </c:pt>
              <c:pt idx="190">
                <c:v>4554</c:v>
              </c:pt>
              <c:pt idx="191">
                <c:v>19766</c:v>
              </c:pt>
              <c:pt idx="192">
                <c:v>10222</c:v>
              </c:pt>
              <c:pt idx="193">
                <c:v>9448</c:v>
              </c:pt>
              <c:pt idx="194">
                <c:v>1541</c:v>
              </c:pt>
              <c:pt idx="195">
                <c:v>430</c:v>
              </c:pt>
              <c:pt idx="196">
                <c:v>12540</c:v>
              </c:pt>
              <c:pt idx="197">
                <c:v>10280</c:v>
              </c:pt>
              <c:pt idx="198">
                <c:v>1955</c:v>
              </c:pt>
              <c:pt idx="199">
                <c:v>35398</c:v>
              </c:pt>
              <c:pt idx="200">
                <c:v>17461</c:v>
              </c:pt>
              <c:pt idx="201">
                <c:v>9730</c:v>
              </c:pt>
              <c:pt idx="202">
                <c:v>17829</c:v>
              </c:pt>
              <c:pt idx="203">
                <c:v>8197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42E-42BA-AD22-9FF64A7B4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545392"/>
        <c:axId val="2083539632"/>
      </c:lineChart>
      <c:catAx>
        <c:axId val="208354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39632"/>
        <c:crosses val="autoZero"/>
        <c:auto val="1"/>
        <c:lblAlgn val="ctr"/>
        <c:lblOffset val="100"/>
        <c:noMultiLvlLbl val="0"/>
      </c:catAx>
      <c:valAx>
        <c:axId val="208353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54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jp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866775</xdr:colOff>
      <xdr:row>6</xdr:row>
      <xdr:rowOff>119062</xdr:rowOff>
    </xdr:from>
    <xdr:to>
      <xdr:col>6</xdr:col>
      <xdr:colOff>76200</xdr:colOff>
      <xdr:row>21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6F37D4-CAB4-67DE-CB2A-D31037283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</xdr:row>
      <xdr:rowOff>152400</xdr:rowOff>
    </xdr:from>
    <xdr:to>
      <xdr:col>1</xdr:col>
      <xdr:colOff>628650</xdr:colOff>
      <xdr:row>20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egiao">
              <a:extLst>
                <a:ext uri="{FF2B5EF4-FFF2-40B4-BE49-F238E27FC236}">
                  <a16:creationId xmlns:a16="http://schemas.microsoft.com/office/drawing/2014/main" id="{272657B6-DDF3-A80D-4492-7D540C0C76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14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24</xdr:row>
      <xdr:rowOff>147637</xdr:rowOff>
    </xdr:from>
    <xdr:to>
      <xdr:col>3</xdr:col>
      <xdr:colOff>1076325</xdr:colOff>
      <xdr:row>39</xdr:row>
      <xdr:rowOff>33337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F0DCC549-93CC-D5F1-F4AD-4E47000F4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542925</xdr:colOff>
      <xdr:row>185</xdr:row>
      <xdr:rowOff>138112</xdr:rowOff>
    </xdr:from>
    <xdr:to>
      <xdr:col>11</xdr:col>
      <xdr:colOff>523875</xdr:colOff>
      <xdr:row>200</xdr:row>
      <xdr:rowOff>23812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DD90888-CF0C-9C1B-8DD2-4116B0ACB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133350</xdr:colOff>
      <xdr:row>40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8C96EC-6BA7-C238-0192-AB3D35E60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92550" cy="76962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12</xdr:row>
      <xdr:rowOff>57150</xdr:rowOff>
    </xdr:from>
    <xdr:to>
      <xdr:col>3</xdr:col>
      <xdr:colOff>152400</xdr:colOff>
      <xdr:row>20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ao 1">
              <a:extLst>
                <a:ext uri="{FF2B5EF4-FFF2-40B4-BE49-F238E27FC236}">
                  <a16:creationId xmlns:a16="http://schemas.microsoft.com/office/drawing/2014/main" id="{AD3A365D-C392-455A-BC60-92844288EA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a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2343150"/>
              <a:ext cx="1828800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266700</xdr:colOff>
      <xdr:row>1</xdr:row>
      <xdr:rowOff>9525</xdr:rowOff>
    </xdr:from>
    <xdr:to>
      <xdr:col>11</xdr:col>
      <xdr:colOff>238125</xdr:colOff>
      <xdr:row>3</xdr:row>
      <xdr:rowOff>104775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7BDFCE7F-2CCE-FD15-7946-82F8FEFCF641}"/>
            </a:ext>
          </a:extLst>
        </xdr:cNvPr>
        <xdr:cNvSpPr txBox="1"/>
      </xdr:nvSpPr>
      <xdr:spPr>
        <a:xfrm>
          <a:off x="266700" y="200025"/>
          <a:ext cx="66770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3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CONTROLE</a:t>
          </a:r>
          <a:r>
            <a:rPr lang="pt-BR" sz="3200" b="1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 DE VENDAS </a:t>
          </a:r>
          <a:endParaRPr lang="pt-BR" sz="3200" b="1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190499</xdr:colOff>
      <xdr:row>5</xdr:row>
      <xdr:rowOff>47626</xdr:rowOff>
    </xdr:from>
    <xdr:to>
      <xdr:col>4</xdr:col>
      <xdr:colOff>581025</xdr:colOff>
      <xdr:row>9</xdr:row>
      <xdr:rowOff>28576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536805E0-5348-918A-589B-3A3ABADBD8A2}"/>
            </a:ext>
          </a:extLst>
        </xdr:cNvPr>
        <xdr:cNvSpPr txBox="1"/>
      </xdr:nvSpPr>
      <xdr:spPr>
        <a:xfrm>
          <a:off x="800099" y="1000126"/>
          <a:ext cx="2219326" cy="74295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tx1"/>
              </a:solidFill>
            </a:rPr>
            <a:t>Faturamento Total </a:t>
          </a:r>
        </a:p>
        <a:p>
          <a:r>
            <a:rPr lang="pt-BR" sz="1800" b="1">
              <a:solidFill>
                <a:schemeClr val="tx1"/>
              </a:solidFill>
            </a:rPr>
            <a:t> R$        1.781.244,00 </a:t>
          </a:r>
        </a:p>
      </xdr:txBody>
    </xdr:sp>
    <xdr:clientData/>
  </xdr:twoCellAnchor>
  <xdr:twoCellAnchor>
    <xdr:from>
      <xdr:col>5</xdr:col>
      <xdr:colOff>161925</xdr:colOff>
      <xdr:row>5</xdr:row>
      <xdr:rowOff>38099</xdr:rowOff>
    </xdr:from>
    <xdr:to>
      <xdr:col>9</xdr:col>
      <xdr:colOff>428625</xdr:colOff>
      <xdr:row>9</xdr:row>
      <xdr:rowOff>47624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15C78729-6912-745D-C20F-3E4B8F3CCBBB}"/>
            </a:ext>
          </a:extLst>
        </xdr:cNvPr>
        <xdr:cNvSpPr txBox="1"/>
      </xdr:nvSpPr>
      <xdr:spPr>
        <a:xfrm>
          <a:off x="3209925" y="990599"/>
          <a:ext cx="2705100" cy="77152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000" b="1">
              <a:solidFill>
                <a:schemeClr val="tx1"/>
              </a:solidFill>
            </a:rPr>
            <a:t>Quantidade de Pedidos</a:t>
          </a:r>
        </a:p>
        <a:p>
          <a:pPr algn="ctr"/>
          <a:r>
            <a:rPr lang="pt-BR" sz="2000" b="1">
              <a:solidFill>
                <a:schemeClr val="tx1"/>
              </a:solidFill>
            </a:rPr>
            <a:t>300 </a:t>
          </a:r>
        </a:p>
      </xdr:txBody>
    </xdr:sp>
    <xdr:clientData/>
  </xdr:twoCellAnchor>
  <xdr:twoCellAnchor>
    <xdr:from>
      <xdr:col>10</xdr:col>
      <xdr:colOff>19050</xdr:colOff>
      <xdr:row>5</xdr:row>
      <xdr:rowOff>57149</xdr:rowOff>
    </xdr:from>
    <xdr:to>
      <xdr:col>12</xdr:col>
      <xdr:colOff>485775</xdr:colOff>
      <xdr:row>9</xdr:row>
      <xdr:rowOff>28574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74528137-B0D8-CF7D-6111-D9A5E5B4D3DA}"/>
            </a:ext>
          </a:extLst>
        </xdr:cNvPr>
        <xdr:cNvSpPr txBox="1"/>
      </xdr:nvSpPr>
      <xdr:spPr>
        <a:xfrm>
          <a:off x="6115050" y="1009649"/>
          <a:ext cx="1685925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/>
            <a:t>Ticket Médio  R$      5.937,48 </a:t>
          </a:r>
        </a:p>
      </xdr:txBody>
    </xdr:sp>
    <xdr:clientData/>
  </xdr:twoCellAnchor>
  <xdr:twoCellAnchor>
    <xdr:from>
      <xdr:col>13</xdr:col>
      <xdr:colOff>47625</xdr:colOff>
      <xdr:row>2</xdr:row>
      <xdr:rowOff>133350</xdr:rowOff>
    </xdr:from>
    <xdr:to>
      <xdr:col>23</xdr:col>
      <xdr:colOff>142875</xdr:colOff>
      <xdr:row>17</xdr:row>
      <xdr:rowOff>19050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1D9A8CB-D081-4B07-9D95-7A56553F0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295275</xdr:colOff>
      <xdr:row>13</xdr:row>
      <xdr:rowOff>123825</xdr:rowOff>
    </xdr:from>
    <xdr:to>
      <xdr:col>10</xdr:col>
      <xdr:colOff>600075</xdr:colOff>
      <xdr:row>36</xdr:row>
      <xdr:rowOff>85725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4E28FA8C-54AA-426F-BD53-E7BA04452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257175</xdr:colOff>
      <xdr:row>18</xdr:row>
      <xdr:rowOff>180974</xdr:rowOff>
    </xdr:from>
    <xdr:to>
      <xdr:col>26</xdr:col>
      <xdr:colOff>390525</xdr:colOff>
      <xdr:row>36</xdr:row>
      <xdr:rowOff>190499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9D86C0D0-1CD2-467D-97AE-AC4266436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6087.504685532411" createdVersion="8" refreshedVersion="8" minRefreshableVersion="3" recordCount="300" xr:uid="{38BD4615-AFBB-4745-86FF-9B1803D3A49E}">
  <cacheSource type="worksheet">
    <worksheetSource name="Tabela1"/>
  </cacheSource>
  <cacheFields count="8">
    <cacheField name="pedido_id" numFmtId="0">
      <sharedItems containsSemiMixedTypes="0" containsString="0" containsNumber="1" containsInteger="1" minValue="1" maxValue="300"/>
    </cacheField>
    <cacheField name="data" numFmtId="0">
      <sharedItems count="204">
        <s v="2025-02-02"/>
        <s v="2025-08-03"/>
        <s v="2025-03-22"/>
        <s v="2025-03-04"/>
        <s v="2025-09-16"/>
        <s v="2025-03-14"/>
        <s v="2025-11-09"/>
        <s v="2025-02-20"/>
        <s v="2025-03-11"/>
        <s v="2025-02-13"/>
        <s v="2025-05-14"/>
        <s v="2025-03-09"/>
        <s v="2025-08-05"/>
        <s v="2025-09-03"/>
        <s v="2025-06-27"/>
        <s v="2025-01-09"/>
        <s v="2025-04-30"/>
        <s v="2025-05-18"/>
        <s v="2025-05-13"/>
        <s v="2025-11-08"/>
        <s v="2025-12-30"/>
        <s v="2025-05-26"/>
        <s v="2025-10-14"/>
        <s v="2025-07-21"/>
        <s v="2025-07-27"/>
        <s v="2025-01-27"/>
        <s v="2025-10-09"/>
        <s v="2025-03-06"/>
        <s v="2025-11-11"/>
        <s v="2025-09-02"/>
        <s v="2025-10-22"/>
        <s v="2025-07-31"/>
        <s v="2025-01-03"/>
        <s v="2025-08-18"/>
        <s v="2025-04-13"/>
        <s v="2025-02-05"/>
        <s v="2025-11-21"/>
        <s v="2025-07-14"/>
        <s v="2025-07-26"/>
        <s v="2025-06-24"/>
        <s v="2025-12-20"/>
        <s v="2025-10-24"/>
        <s v="2025-08-09"/>
        <s v="2025-12-13"/>
        <s v="2025-11-03"/>
        <s v="2025-08-23"/>
        <s v="2025-12-05"/>
        <s v="2025-11-10"/>
        <s v="2025-05-24"/>
        <s v="2025-07-24"/>
        <s v="2025-10-23"/>
        <s v="2025-08-30"/>
        <s v="2025-02-22"/>
        <s v="2025-11-17"/>
        <s v="2025-10-29"/>
        <s v="2025-01-10"/>
        <s v="2025-03-25"/>
        <s v="2025-10-17"/>
        <s v="2025-03-18"/>
        <s v="2025-01-08"/>
        <s v="2025-09-17"/>
        <s v="2025-01-07"/>
        <s v="2025-12-21"/>
        <s v="2025-02-09"/>
        <s v="2025-02-08"/>
        <s v="2025-05-20"/>
        <s v="2025-12-14"/>
        <s v="2025-03-21"/>
        <s v="2025-12-26"/>
        <s v="2025-07-30"/>
        <s v="2025-05-23"/>
        <s v="2025-04-07"/>
        <s v="2025-02-04"/>
        <s v="2025-08-10"/>
        <s v="2025-12-03"/>
        <s v="2025-02-11"/>
        <s v="2025-03-13"/>
        <s v="2025-12-01"/>
        <s v="2025-08-04"/>
        <s v="2025-09-12"/>
        <s v="2025-07-01"/>
        <s v="2025-12-31"/>
        <s v="2025-03-29"/>
        <s v="2025-02-18"/>
        <s v="2025-12-06"/>
        <s v="2025-11-05"/>
        <s v="2025-11-02"/>
        <s v="2025-10-03"/>
        <s v="2025-11-16"/>
        <s v="2025-04-17"/>
        <s v="2025-09-04"/>
        <s v="2025-09-25"/>
        <s v="2025-05-12"/>
        <s v="2025-11-27"/>
        <s v="2025-03-16"/>
        <s v="2025-05-08"/>
        <s v="2025-11-14"/>
        <s v="2025-03-03"/>
        <s v="2025-03-08"/>
        <s v="2025-01-02"/>
        <s v="2025-03-17"/>
        <s v="2025-02-03"/>
        <s v="2025-10-28"/>
        <s v="2025-09-09"/>
        <s v="2025-05-28"/>
        <s v="2025-07-13"/>
        <s v="2025-01-26"/>
        <s v="2025-09-15"/>
        <s v="2025-12-07"/>
        <s v="2025-07-19"/>
        <s v="2025-10-01"/>
        <s v="2025-08-06"/>
        <s v="2025-02-15"/>
        <s v="2025-11-19"/>
        <s v="2025-07-20"/>
        <s v="2025-09-10"/>
        <s v="2025-02-12"/>
        <s v="2025-11-23"/>
        <s v="2025-08-01"/>
        <s v="2025-06-16"/>
        <s v="2025-05-01"/>
        <s v="2025-03-15"/>
        <s v="2025-04-29"/>
        <s v="2025-08-26"/>
        <s v="2025-07-03"/>
        <s v="2025-12-04"/>
        <s v="2025-09-27"/>
        <s v="2025-11-29"/>
        <s v="2025-06-18"/>
        <s v="2025-07-07"/>
        <s v="2025-01-11"/>
        <s v="2025-03-26"/>
        <s v="2025-07-22"/>
        <s v="2025-04-27"/>
        <s v="2025-02-06"/>
        <s v="2025-09-24"/>
        <s v="2025-08-12"/>
        <s v="2025-02-16"/>
        <s v="2025-02-14"/>
        <s v="2025-07-17"/>
        <s v="2025-10-08"/>
        <s v="2025-04-21"/>
        <s v="2025-10-30"/>
        <s v="2025-09-22"/>
        <s v="2025-11-12"/>
        <s v="2025-09-14"/>
        <s v="2025-04-26"/>
        <s v="2025-09-28"/>
        <s v="2025-06-30"/>
        <s v="2025-01-17"/>
        <s v="2025-01-13"/>
        <s v="2025-08-29"/>
        <s v="2025-06-11"/>
        <s v="2025-10-18"/>
        <s v="2025-08-20"/>
        <s v="2025-06-08"/>
        <s v="2025-04-25"/>
        <s v="2025-03-10"/>
        <s v="2025-06-05"/>
        <s v="2025-01-12"/>
        <s v="2025-07-12"/>
        <s v="2025-11-13"/>
        <s v="2025-04-09"/>
        <s v="2025-05-04"/>
        <s v="2025-03-30"/>
        <s v="2025-05-17"/>
        <s v="2025-12-18"/>
        <s v="2025-06-12"/>
        <s v="2025-06-23"/>
        <s v="2025-03-28"/>
        <s v="2025-09-08"/>
        <s v="2025-10-04"/>
        <s v="2025-02-07"/>
        <s v="2025-10-19"/>
        <s v="2025-08-24"/>
        <s v="2025-04-20"/>
        <s v="2025-05-30"/>
        <s v="2025-12-09"/>
        <s v="2025-08-07"/>
        <s v="2025-09-23"/>
        <s v="2025-09-19"/>
        <s v="2025-09-05"/>
        <s v="2025-05-09"/>
        <s v="2025-01-25"/>
        <s v="2025-08-25"/>
        <s v="2025-04-28"/>
        <s v="2025-03-20"/>
        <s v="2025-07-29"/>
        <s v="2025-04-06"/>
        <s v="2025-04-22"/>
        <s v="2025-06-15"/>
        <s v="2025-11-20"/>
        <s v="2025-01-28"/>
        <s v="2025-01-21"/>
        <s v="2025-03-24"/>
        <s v="2025-02-23"/>
        <s v="2025-05-22"/>
        <s v="2025-12-10"/>
        <s v="2025-05-10"/>
        <s v="2025-08-27"/>
        <s v="2025-09-01"/>
        <s v="2025-11-22"/>
        <s v="2025-09-18"/>
        <s v="2025-05-25"/>
      </sharedItems>
    </cacheField>
    <cacheField name="produto" numFmtId="0">
      <sharedItems count="10">
        <s v="Notebook"/>
        <s v="Mouse"/>
        <s v="Cadeira Gamer"/>
        <s v="Pen Drive"/>
        <s v="HD Externo"/>
        <s v="SSD"/>
        <s v="Webcam"/>
        <s v="Teclado"/>
        <s v="Monitor"/>
        <s v="Headset"/>
      </sharedItems>
    </cacheField>
    <cacheField name="categoria" numFmtId="0">
      <sharedItems count="4">
        <s v="Eletrônicos"/>
        <s v="Periféricos"/>
        <s v="Móveis"/>
        <s v="Armazenamento"/>
      </sharedItems>
    </cacheField>
    <cacheField name="quantidade" numFmtId="0">
      <sharedItems containsSemiMixedTypes="0" containsString="0" containsNumber="1" containsInteger="1" minValue="1" maxValue="5"/>
    </cacheField>
    <cacheField name="preco_unitario" numFmtId="44">
      <sharedItems containsSemiMixedTypes="0" containsString="0" containsNumber="1" containsInteger="1" minValue="59" maxValue="4000"/>
    </cacheField>
    <cacheField name="valor_total" numFmtId="44">
      <sharedItems containsSemiMixedTypes="0" containsString="0" containsNumber="1" containsInteger="1" minValue="126" maxValue="19260"/>
    </cacheField>
    <cacheField name="regiao" numFmtId="0">
      <sharedItems count="4">
        <s v="Centro-Oeste"/>
        <s v="Sudeste"/>
        <s v="Nordeste"/>
        <s v="Sul"/>
      </sharedItems>
    </cacheField>
  </cacheFields>
  <extLst>
    <ext xmlns:x14="http://schemas.microsoft.com/office/spreadsheetml/2009/9/main" uri="{725AE2AE-9491-48be-B2B4-4EB974FC3084}">
      <x14:pivotCacheDefinition pivotCacheId="4953026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72"/>
    <x v="0"/>
    <x v="0"/>
    <x v="0"/>
    <n v="5"/>
    <n v="3852"/>
    <n v="19260"/>
    <x v="0"/>
  </r>
  <r>
    <n v="50"/>
    <x v="1"/>
    <x v="1"/>
    <x v="1"/>
    <n v="5"/>
    <n v="3849"/>
    <n v="19245"/>
    <x v="1"/>
  </r>
  <r>
    <n v="4"/>
    <x v="2"/>
    <x v="2"/>
    <x v="2"/>
    <n v="5"/>
    <n v="3701"/>
    <n v="18505"/>
    <x v="2"/>
  </r>
  <r>
    <n v="101"/>
    <x v="3"/>
    <x v="3"/>
    <x v="3"/>
    <n v="5"/>
    <n v="3431"/>
    <n v="17155"/>
    <x v="2"/>
  </r>
  <r>
    <n v="53"/>
    <x v="4"/>
    <x v="4"/>
    <x v="3"/>
    <n v="5"/>
    <n v="3322"/>
    <n v="16610"/>
    <x v="2"/>
  </r>
  <r>
    <n v="269"/>
    <x v="5"/>
    <x v="5"/>
    <x v="3"/>
    <n v="5"/>
    <n v="3289"/>
    <n v="16445"/>
    <x v="3"/>
  </r>
  <r>
    <n v="231"/>
    <x v="6"/>
    <x v="6"/>
    <x v="1"/>
    <n v="5"/>
    <n v="3238"/>
    <n v="16190"/>
    <x v="1"/>
  </r>
  <r>
    <n v="97"/>
    <x v="7"/>
    <x v="1"/>
    <x v="1"/>
    <n v="4"/>
    <n v="3941"/>
    <n v="15764"/>
    <x v="2"/>
  </r>
  <r>
    <n v="295"/>
    <x v="8"/>
    <x v="7"/>
    <x v="1"/>
    <n v="5"/>
    <n v="3144"/>
    <n v="15720"/>
    <x v="2"/>
  </r>
  <r>
    <n v="135"/>
    <x v="9"/>
    <x v="2"/>
    <x v="2"/>
    <n v="4"/>
    <n v="3928"/>
    <n v="15712"/>
    <x v="1"/>
  </r>
  <r>
    <n v="23"/>
    <x v="10"/>
    <x v="2"/>
    <x v="2"/>
    <n v="4"/>
    <n v="3901"/>
    <n v="15604"/>
    <x v="3"/>
  </r>
  <r>
    <n v="204"/>
    <x v="11"/>
    <x v="3"/>
    <x v="3"/>
    <n v="4"/>
    <n v="3874"/>
    <n v="15496"/>
    <x v="2"/>
  </r>
  <r>
    <n v="90"/>
    <x v="12"/>
    <x v="2"/>
    <x v="2"/>
    <n v="4"/>
    <n v="3836"/>
    <n v="15344"/>
    <x v="0"/>
  </r>
  <r>
    <n v="54"/>
    <x v="13"/>
    <x v="2"/>
    <x v="2"/>
    <n v="4"/>
    <n v="3835"/>
    <n v="15340"/>
    <x v="3"/>
  </r>
  <r>
    <n v="140"/>
    <x v="14"/>
    <x v="8"/>
    <x v="0"/>
    <n v="4"/>
    <n v="3817"/>
    <n v="15268"/>
    <x v="2"/>
  </r>
  <r>
    <n v="14"/>
    <x v="15"/>
    <x v="6"/>
    <x v="1"/>
    <n v="5"/>
    <n v="3044"/>
    <n v="15220"/>
    <x v="2"/>
  </r>
  <r>
    <n v="77"/>
    <x v="16"/>
    <x v="9"/>
    <x v="1"/>
    <n v="4"/>
    <n v="3777"/>
    <n v="15108"/>
    <x v="2"/>
  </r>
  <r>
    <n v="186"/>
    <x v="17"/>
    <x v="4"/>
    <x v="3"/>
    <n v="4"/>
    <n v="3769"/>
    <n v="15076"/>
    <x v="1"/>
  </r>
  <r>
    <n v="299"/>
    <x v="18"/>
    <x v="2"/>
    <x v="2"/>
    <n v="5"/>
    <n v="3009"/>
    <n v="15045"/>
    <x v="1"/>
  </r>
  <r>
    <n v="2"/>
    <x v="19"/>
    <x v="2"/>
    <x v="2"/>
    <n v="4"/>
    <n v="3705"/>
    <n v="14820"/>
    <x v="3"/>
  </r>
  <r>
    <n v="20"/>
    <x v="20"/>
    <x v="9"/>
    <x v="1"/>
    <n v="5"/>
    <n v="2957"/>
    <n v="14785"/>
    <x v="3"/>
  </r>
  <r>
    <n v="188"/>
    <x v="21"/>
    <x v="3"/>
    <x v="3"/>
    <n v="5"/>
    <n v="2957"/>
    <n v="14785"/>
    <x v="0"/>
  </r>
  <r>
    <n v="5"/>
    <x v="22"/>
    <x v="0"/>
    <x v="0"/>
    <n v="4"/>
    <n v="3666"/>
    <n v="14664"/>
    <x v="0"/>
  </r>
  <r>
    <n v="195"/>
    <x v="23"/>
    <x v="4"/>
    <x v="3"/>
    <n v="5"/>
    <n v="2928"/>
    <n v="14640"/>
    <x v="0"/>
  </r>
  <r>
    <n v="273"/>
    <x v="24"/>
    <x v="5"/>
    <x v="3"/>
    <n v="4"/>
    <n v="3655"/>
    <n v="14620"/>
    <x v="0"/>
  </r>
  <r>
    <n v="206"/>
    <x v="25"/>
    <x v="9"/>
    <x v="1"/>
    <n v="4"/>
    <n v="3651"/>
    <n v="14604"/>
    <x v="2"/>
  </r>
  <r>
    <n v="161"/>
    <x v="26"/>
    <x v="1"/>
    <x v="1"/>
    <n v="4"/>
    <n v="3643"/>
    <n v="14572"/>
    <x v="0"/>
  </r>
  <r>
    <n v="46"/>
    <x v="27"/>
    <x v="7"/>
    <x v="1"/>
    <n v="5"/>
    <n v="2898"/>
    <n v="14490"/>
    <x v="1"/>
  </r>
  <r>
    <n v="222"/>
    <x v="28"/>
    <x v="8"/>
    <x v="0"/>
    <n v="5"/>
    <n v="2871"/>
    <n v="14355"/>
    <x v="0"/>
  </r>
  <r>
    <n v="245"/>
    <x v="29"/>
    <x v="3"/>
    <x v="3"/>
    <n v="4"/>
    <n v="3545"/>
    <n v="14180"/>
    <x v="2"/>
  </r>
  <r>
    <n v="180"/>
    <x v="30"/>
    <x v="1"/>
    <x v="1"/>
    <n v="4"/>
    <n v="3541"/>
    <n v="14164"/>
    <x v="3"/>
  </r>
  <r>
    <n v="166"/>
    <x v="31"/>
    <x v="3"/>
    <x v="3"/>
    <n v="5"/>
    <n v="2819"/>
    <n v="14095"/>
    <x v="1"/>
  </r>
  <r>
    <n v="187"/>
    <x v="32"/>
    <x v="3"/>
    <x v="3"/>
    <n v="4"/>
    <n v="3505"/>
    <n v="14020"/>
    <x v="0"/>
  </r>
  <r>
    <n v="89"/>
    <x v="33"/>
    <x v="6"/>
    <x v="1"/>
    <n v="4"/>
    <n v="3493"/>
    <n v="13972"/>
    <x v="0"/>
  </r>
  <r>
    <n v="106"/>
    <x v="34"/>
    <x v="4"/>
    <x v="3"/>
    <n v="5"/>
    <n v="2761"/>
    <n v="13805"/>
    <x v="3"/>
  </r>
  <r>
    <n v="289"/>
    <x v="35"/>
    <x v="9"/>
    <x v="1"/>
    <n v="4"/>
    <n v="3379"/>
    <n v="13516"/>
    <x v="0"/>
  </r>
  <r>
    <n v="194"/>
    <x v="36"/>
    <x v="8"/>
    <x v="0"/>
    <n v="5"/>
    <n v="2661"/>
    <n v="13305"/>
    <x v="3"/>
  </r>
  <r>
    <n v="193"/>
    <x v="37"/>
    <x v="7"/>
    <x v="1"/>
    <n v="4"/>
    <n v="3303"/>
    <n v="13212"/>
    <x v="0"/>
  </r>
  <r>
    <n v="91"/>
    <x v="38"/>
    <x v="7"/>
    <x v="1"/>
    <n v="5"/>
    <n v="2625"/>
    <n v="13125"/>
    <x v="2"/>
  </r>
  <r>
    <n v="236"/>
    <x v="39"/>
    <x v="3"/>
    <x v="3"/>
    <n v="5"/>
    <n v="2621"/>
    <n v="13105"/>
    <x v="0"/>
  </r>
  <r>
    <n v="268"/>
    <x v="40"/>
    <x v="8"/>
    <x v="0"/>
    <n v="4"/>
    <n v="3259"/>
    <n v="13036"/>
    <x v="1"/>
  </r>
  <r>
    <n v="287"/>
    <x v="7"/>
    <x v="4"/>
    <x v="3"/>
    <n v="5"/>
    <n v="2604"/>
    <n v="13020"/>
    <x v="0"/>
  </r>
  <r>
    <n v="98"/>
    <x v="41"/>
    <x v="6"/>
    <x v="1"/>
    <n v="4"/>
    <n v="3241"/>
    <n v="12964"/>
    <x v="2"/>
  </r>
  <r>
    <n v="184"/>
    <x v="42"/>
    <x v="1"/>
    <x v="1"/>
    <n v="4"/>
    <n v="3234"/>
    <n v="12936"/>
    <x v="1"/>
  </r>
  <r>
    <n v="203"/>
    <x v="43"/>
    <x v="1"/>
    <x v="1"/>
    <n v="5"/>
    <n v="2508"/>
    <n v="12540"/>
    <x v="0"/>
  </r>
  <r>
    <n v="197"/>
    <x v="44"/>
    <x v="7"/>
    <x v="1"/>
    <n v="4"/>
    <n v="3124"/>
    <n v="12496"/>
    <x v="3"/>
  </r>
  <r>
    <n v="83"/>
    <x v="45"/>
    <x v="4"/>
    <x v="3"/>
    <n v="4"/>
    <n v="3098"/>
    <n v="12392"/>
    <x v="0"/>
  </r>
  <r>
    <n v="48"/>
    <x v="46"/>
    <x v="3"/>
    <x v="3"/>
    <n v="5"/>
    <n v="2412"/>
    <n v="12060"/>
    <x v="2"/>
  </r>
  <r>
    <n v="57"/>
    <x v="47"/>
    <x v="9"/>
    <x v="1"/>
    <n v="4"/>
    <n v="3012"/>
    <n v="12048"/>
    <x v="3"/>
  </r>
  <r>
    <n v="212"/>
    <x v="48"/>
    <x v="0"/>
    <x v="0"/>
    <n v="3"/>
    <n v="4000"/>
    <n v="12000"/>
    <x v="1"/>
  </r>
  <r>
    <n v="210"/>
    <x v="49"/>
    <x v="0"/>
    <x v="0"/>
    <n v="4"/>
    <n v="2994"/>
    <n v="11976"/>
    <x v="0"/>
  </r>
  <r>
    <n v="52"/>
    <x v="50"/>
    <x v="6"/>
    <x v="1"/>
    <n v="3"/>
    <n v="3973"/>
    <n v="11919"/>
    <x v="3"/>
  </r>
  <r>
    <n v="40"/>
    <x v="38"/>
    <x v="9"/>
    <x v="1"/>
    <n v="3"/>
    <n v="3956"/>
    <n v="11868"/>
    <x v="2"/>
  </r>
  <r>
    <n v="246"/>
    <x v="51"/>
    <x v="9"/>
    <x v="1"/>
    <n v="5"/>
    <n v="2345"/>
    <n v="11725"/>
    <x v="2"/>
  </r>
  <r>
    <n v="178"/>
    <x v="52"/>
    <x v="4"/>
    <x v="3"/>
    <n v="4"/>
    <n v="2927"/>
    <n v="11708"/>
    <x v="2"/>
  </r>
  <r>
    <n v="47"/>
    <x v="53"/>
    <x v="2"/>
    <x v="2"/>
    <n v="4"/>
    <n v="2913"/>
    <n v="11652"/>
    <x v="3"/>
  </r>
  <r>
    <n v="92"/>
    <x v="54"/>
    <x v="4"/>
    <x v="3"/>
    <n v="3"/>
    <n v="3858"/>
    <n v="11574"/>
    <x v="0"/>
  </r>
  <r>
    <n v="280"/>
    <x v="55"/>
    <x v="9"/>
    <x v="1"/>
    <n v="4"/>
    <n v="2862"/>
    <n v="11448"/>
    <x v="0"/>
  </r>
  <r>
    <n v="100"/>
    <x v="56"/>
    <x v="0"/>
    <x v="0"/>
    <n v="3"/>
    <n v="3783"/>
    <n v="11349"/>
    <x v="3"/>
  </r>
  <r>
    <n v="76"/>
    <x v="57"/>
    <x v="0"/>
    <x v="0"/>
    <n v="3"/>
    <n v="3721"/>
    <n v="11163"/>
    <x v="0"/>
  </r>
  <r>
    <n v="144"/>
    <x v="58"/>
    <x v="5"/>
    <x v="3"/>
    <n v="3"/>
    <n v="3621"/>
    <n v="10863"/>
    <x v="2"/>
  </r>
  <r>
    <n v="256"/>
    <x v="59"/>
    <x v="4"/>
    <x v="3"/>
    <n v="3"/>
    <n v="3572"/>
    <n v="10716"/>
    <x v="3"/>
  </r>
  <r>
    <n v="88"/>
    <x v="60"/>
    <x v="1"/>
    <x v="1"/>
    <n v="5"/>
    <n v="2125"/>
    <n v="10625"/>
    <x v="1"/>
  </r>
  <r>
    <n v="39"/>
    <x v="61"/>
    <x v="5"/>
    <x v="3"/>
    <n v="3"/>
    <n v="3484"/>
    <n v="10452"/>
    <x v="1"/>
  </r>
  <r>
    <n v="120"/>
    <x v="62"/>
    <x v="3"/>
    <x v="3"/>
    <n v="5"/>
    <n v="2081"/>
    <n v="10405"/>
    <x v="2"/>
  </r>
  <r>
    <n v="259"/>
    <x v="63"/>
    <x v="6"/>
    <x v="1"/>
    <n v="4"/>
    <n v="2600"/>
    <n v="10400"/>
    <x v="2"/>
  </r>
  <r>
    <n v="293"/>
    <x v="64"/>
    <x v="0"/>
    <x v="0"/>
    <n v="5"/>
    <n v="2075"/>
    <n v="10375"/>
    <x v="2"/>
  </r>
  <r>
    <n v="72"/>
    <x v="65"/>
    <x v="5"/>
    <x v="3"/>
    <n v="4"/>
    <n v="2577"/>
    <n v="10308"/>
    <x v="1"/>
  </r>
  <r>
    <n v="214"/>
    <x v="66"/>
    <x v="4"/>
    <x v="3"/>
    <n v="4"/>
    <n v="2570"/>
    <n v="10280"/>
    <x v="2"/>
  </r>
  <r>
    <n v="7"/>
    <x v="67"/>
    <x v="0"/>
    <x v="0"/>
    <n v="5"/>
    <n v="2009"/>
    <n v="10045"/>
    <x v="3"/>
  </r>
  <r>
    <n v="260"/>
    <x v="68"/>
    <x v="0"/>
    <x v="0"/>
    <n v="5"/>
    <n v="1946"/>
    <n v="9730"/>
    <x v="0"/>
  </r>
  <r>
    <n v="285"/>
    <x v="69"/>
    <x v="9"/>
    <x v="1"/>
    <n v="5"/>
    <n v="1938"/>
    <n v="9690"/>
    <x v="3"/>
  </r>
  <r>
    <n v="111"/>
    <x v="70"/>
    <x v="1"/>
    <x v="1"/>
    <n v="3"/>
    <n v="3209"/>
    <n v="9627"/>
    <x v="3"/>
  </r>
  <r>
    <n v="28"/>
    <x v="71"/>
    <x v="6"/>
    <x v="1"/>
    <n v="4"/>
    <n v="2380"/>
    <n v="9520"/>
    <x v="3"/>
  </r>
  <r>
    <n v="162"/>
    <x v="72"/>
    <x v="2"/>
    <x v="2"/>
    <n v="4"/>
    <n v="2244"/>
    <n v="8976"/>
    <x v="1"/>
  </r>
  <r>
    <n v="174"/>
    <x v="40"/>
    <x v="6"/>
    <x v="1"/>
    <n v="3"/>
    <n v="2991"/>
    <n v="8973"/>
    <x v="0"/>
  </r>
  <r>
    <n v="30"/>
    <x v="73"/>
    <x v="6"/>
    <x v="1"/>
    <n v="3"/>
    <n v="2989"/>
    <n v="8967"/>
    <x v="2"/>
  </r>
  <r>
    <n v="113"/>
    <x v="74"/>
    <x v="4"/>
    <x v="3"/>
    <n v="4"/>
    <n v="2186"/>
    <n v="8744"/>
    <x v="2"/>
  </r>
  <r>
    <n v="31"/>
    <x v="63"/>
    <x v="5"/>
    <x v="3"/>
    <n v="3"/>
    <n v="2823"/>
    <n v="8469"/>
    <x v="0"/>
  </r>
  <r>
    <n v="288"/>
    <x v="75"/>
    <x v="0"/>
    <x v="0"/>
    <n v="5"/>
    <n v="1691"/>
    <n v="8455"/>
    <x v="3"/>
  </r>
  <r>
    <n v="43"/>
    <x v="76"/>
    <x v="2"/>
    <x v="2"/>
    <n v="5"/>
    <n v="1667"/>
    <n v="8335"/>
    <x v="3"/>
  </r>
  <r>
    <n v="234"/>
    <x v="77"/>
    <x v="7"/>
    <x v="1"/>
    <n v="5"/>
    <n v="1606"/>
    <n v="8030"/>
    <x v="2"/>
  </r>
  <r>
    <n v="229"/>
    <x v="51"/>
    <x v="2"/>
    <x v="2"/>
    <n v="3"/>
    <n v="2650"/>
    <n v="7950"/>
    <x v="3"/>
  </r>
  <r>
    <n v="200"/>
    <x v="78"/>
    <x v="6"/>
    <x v="1"/>
    <n v="4"/>
    <n v="1981"/>
    <n v="7924"/>
    <x v="2"/>
  </r>
  <r>
    <n v="165"/>
    <x v="79"/>
    <x v="1"/>
    <x v="1"/>
    <n v="3"/>
    <n v="2635"/>
    <n v="7905"/>
    <x v="1"/>
  </r>
  <r>
    <n v="226"/>
    <x v="80"/>
    <x v="1"/>
    <x v="1"/>
    <n v="2"/>
    <n v="3884"/>
    <n v="7768"/>
    <x v="0"/>
  </r>
  <r>
    <n v="130"/>
    <x v="81"/>
    <x v="3"/>
    <x v="3"/>
    <n v="3"/>
    <n v="2589"/>
    <n v="7767"/>
    <x v="0"/>
  </r>
  <r>
    <n v="122"/>
    <x v="82"/>
    <x v="6"/>
    <x v="1"/>
    <n v="2"/>
    <n v="3861"/>
    <n v="7722"/>
    <x v="1"/>
  </r>
  <r>
    <n v="258"/>
    <x v="83"/>
    <x v="7"/>
    <x v="1"/>
    <n v="5"/>
    <n v="1534"/>
    <n v="7670"/>
    <x v="0"/>
  </r>
  <r>
    <n v="35"/>
    <x v="10"/>
    <x v="0"/>
    <x v="0"/>
    <n v="5"/>
    <n v="1533"/>
    <n v="7665"/>
    <x v="1"/>
  </r>
  <r>
    <n v="244"/>
    <x v="51"/>
    <x v="9"/>
    <x v="1"/>
    <n v="4"/>
    <n v="1909"/>
    <n v="7636"/>
    <x v="2"/>
  </r>
  <r>
    <n v="33"/>
    <x v="40"/>
    <x v="1"/>
    <x v="1"/>
    <n v="2"/>
    <n v="3776"/>
    <n v="7552"/>
    <x v="1"/>
  </r>
  <r>
    <n v="257"/>
    <x v="84"/>
    <x v="4"/>
    <x v="3"/>
    <n v="5"/>
    <n v="1479"/>
    <n v="7395"/>
    <x v="1"/>
  </r>
  <r>
    <n v="64"/>
    <x v="85"/>
    <x v="4"/>
    <x v="3"/>
    <n v="3"/>
    <n v="2446"/>
    <n v="7338"/>
    <x v="0"/>
  </r>
  <r>
    <n v="45"/>
    <x v="86"/>
    <x v="8"/>
    <x v="0"/>
    <n v="2"/>
    <n v="3633"/>
    <n v="7266"/>
    <x v="3"/>
  </r>
  <r>
    <n v="108"/>
    <x v="87"/>
    <x v="8"/>
    <x v="0"/>
    <n v="2"/>
    <n v="3596"/>
    <n v="7192"/>
    <x v="2"/>
  </r>
  <r>
    <n v="300"/>
    <x v="88"/>
    <x v="8"/>
    <x v="0"/>
    <n v="4"/>
    <n v="1795"/>
    <n v="7180"/>
    <x v="2"/>
  </r>
  <r>
    <n v="201"/>
    <x v="89"/>
    <x v="8"/>
    <x v="0"/>
    <n v="3"/>
    <n v="2362"/>
    <n v="7086"/>
    <x v="3"/>
  </r>
  <r>
    <n v="41"/>
    <x v="62"/>
    <x v="4"/>
    <x v="3"/>
    <n v="4"/>
    <n v="1764"/>
    <n v="7056"/>
    <x v="0"/>
  </r>
  <r>
    <n v="123"/>
    <x v="78"/>
    <x v="1"/>
    <x v="1"/>
    <n v="5"/>
    <n v="1389"/>
    <n v="6945"/>
    <x v="3"/>
  </r>
  <r>
    <n v="104"/>
    <x v="90"/>
    <x v="3"/>
    <x v="3"/>
    <n v="3"/>
    <n v="2312"/>
    <n v="6936"/>
    <x v="2"/>
  </r>
  <r>
    <n v="230"/>
    <x v="91"/>
    <x v="9"/>
    <x v="1"/>
    <n v="5"/>
    <n v="1383"/>
    <n v="6915"/>
    <x v="0"/>
  </r>
  <r>
    <n v="198"/>
    <x v="92"/>
    <x v="1"/>
    <x v="1"/>
    <n v="5"/>
    <n v="1344"/>
    <n v="6720"/>
    <x v="1"/>
  </r>
  <r>
    <n v="15"/>
    <x v="16"/>
    <x v="7"/>
    <x v="1"/>
    <n v="2"/>
    <n v="3337"/>
    <n v="6674"/>
    <x v="3"/>
  </r>
  <r>
    <n v="132"/>
    <x v="93"/>
    <x v="6"/>
    <x v="1"/>
    <n v="2"/>
    <n v="3321"/>
    <n v="6642"/>
    <x v="0"/>
  </r>
  <r>
    <n v="153"/>
    <x v="94"/>
    <x v="6"/>
    <x v="1"/>
    <n v="2"/>
    <n v="3317"/>
    <n v="6634"/>
    <x v="3"/>
  </r>
  <r>
    <n v="37"/>
    <x v="95"/>
    <x v="4"/>
    <x v="3"/>
    <n v="3"/>
    <n v="2178"/>
    <n v="6534"/>
    <x v="0"/>
  </r>
  <r>
    <n v="11"/>
    <x v="96"/>
    <x v="9"/>
    <x v="1"/>
    <n v="2"/>
    <n v="3264"/>
    <n v="6528"/>
    <x v="3"/>
  </r>
  <r>
    <n v="25"/>
    <x v="97"/>
    <x v="7"/>
    <x v="1"/>
    <n v="2"/>
    <n v="3247"/>
    <n v="6494"/>
    <x v="0"/>
  </r>
  <r>
    <n v="81"/>
    <x v="98"/>
    <x v="5"/>
    <x v="3"/>
    <n v="3"/>
    <n v="2160"/>
    <n v="6480"/>
    <x v="2"/>
  </r>
  <r>
    <n v="255"/>
    <x v="99"/>
    <x v="3"/>
    <x v="3"/>
    <n v="3"/>
    <n v="2128"/>
    <n v="6384"/>
    <x v="3"/>
  </r>
  <r>
    <n v="139"/>
    <x v="100"/>
    <x v="3"/>
    <x v="3"/>
    <n v="4"/>
    <n v="1579"/>
    <n v="6316"/>
    <x v="0"/>
  </r>
  <r>
    <n v="155"/>
    <x v="61"/>
    <x v="4"/>
    <x v="3"/>
    <n v="5"/>
    <n v="1245"/>
    <n v="6225"/>
    <x v="3"/>
  </r>
  <r>
    <n v="17"/>
    <x v="101"/>
    <x v="1"/>
    <x v="1"/>
    <n v="5"/>
    <n v="1213"/>
    <n v="6065"/>
    <x v="2"/>
  </r>
  <r>
    <n v="110"/>
    <x v="102"/>
    <x v="7"/>
    <x v="1"/>
    <n v="3"/>
    <n v="1982"/>
    <n v="5946"/>
    <x v="2"/>
  </r>
  <r>
    <n v="34"/>
    <x v="103"/>
    <x v="7"/>
    <x v="1"/>
    <n v="3"/>
    <n v="1944"/>
    <n v="5832"/>
    <x v="1"/>
  </r>
  <r>
    <n v="254"/>
    <x v="104"/>
    <x v="6"/>
    <x v="1"/>
    <n v="2"/>
    <n v="2911"/>
    <n v="5822"/>
    <x v="3"/>
  </r>
  <r>
    <n v="272"/>
    <x v="105"/>
    <x v="5"/>
    <x v="3"/>
    <n v="2"/>
    <n v="2897"/>
    <n v="5794"/>
    <x v="3"/>
  </r>
  <r>
    <n v="239"/>
    <x v="4"/>
    <x v="7"/>
    <x v="1"/>
    <n v="3"/>
    <n v="1920"/>
    <n v="5760"/>
    <x v="1"/>
  </r>
  <r>
    <n v="96"/>
    <x v="106"/>
    <x v="5"/>
    <x v="3"/>
    <n v="2"/>
    <n v="2843"/>
    <n v="5686"/>
    <x v="3"/>
  </r>
  <r>
    <n v="133"/>
    <x v="28"/>
    <x v="6"/>
    <x v="1"/>
    <n v="2"/>
    <n v="2809"/>
    <n v="5618"/>
    <x v="0"/>
  </r>
  <r>
    <n v="73"/>
    <x v="107"/>
    <x v="9"/>
    <x v="1"/>
    <n v="4"/>
    <n v="1397"/>
    <n v="5588"/>
    <x v="3"/>
  </r>
  <r>
    <n v="168"/>
    <x v="108"/>
    <x v="9"/>
    <x v="1"/>
    <n v="2"/>
    <n v="2781"/>
    <n v="5562"/>
    <x v="0"/>
  </r>
  <r>
    <n v="114"/>
    <x v="109"/>
    <x v="6"/>
    <x v="1"/>
    <n v="4"/>
    <n v="1370"/>
    <n v="5480"/>
    <x v="2"/>
  </r>
  <r>
    <n v="158"/>
    <x v="110"/>
    <x v="0"/>
    <x v="0"/>
    <n v="3"/>
    <n v="1803"/>
    <n v="5409"/>
    <x v="1"/>
  </r>
  <r>
    <n v="85"/>
    <x v="55"/>
    <x v="6"/>
    <x v="1"/>
    <n v="5"/>
    <n v="1066"/>
    <n v="5330"/>
    <x v="3"/>
  </r>
  <r>
    <n v="173"/>
    <x v="111"/>
    <x v="6"/>
    <x v="1"/>
    <n v="3"/>
    <n v="1758"/>
    <n v="5274"/>
    <x v="0"/>
  </r>
  <r>
    <n v="183"/>
    <x v="112"/>
    <x v="3"/>
    <x v="3"/>
    <n v="4"/>
    <n v="1313"/>
    <n v="5252"/>
    <x v="2"/>
  </r>
  <r>
    <n v="291"/>
    <x v="113"/>
    <x v="0"/>
    <x v="0"/>
    <n v="5"/>
    <n v="1041"/>
    <n v="5205"/>
    <x v="3"/>
  </r>
  <r>
    <n v="26"/>
    <x v="114"/>
    <x v="0"/>
    <x v="0"/>
    <n v="2"/>
    <n v="2566"/>
    <n v="5132"/>
    <x v="1"/>
  </r>
  <r>
    <n v="137"/>
    <x v="115"/>
    <x v="1"/>
    <x v="1"/>
    <n v="4"/>
    <n v="1274"/>
    <n v="5096"/>
    <x v="0"/>
  </r>
  <r>
    <n v="156"/>
    <x v="116"/>
    <x v="6"/>
    <x v="1"/>
    <n v="4"/>
    <n v="1266"/>
    <n v="5064"/>
    <x v="1"/>
  </r>
  <r>
    <n v="136"/>
    <x v="11"/>
    <x v="1"/>
    <x v="1"/>
    <n v="5"/>
    <n v="1007"/>
    <n v="5035"/>
    <x v="1"/>
  </r>
  <r>
    <n v="237"/>
    <x v="40"/>
    <x v="8"/>
    <x v="0"/>
    <n v="2"/>
    <n v="2509"/>
    <n v="5018"/>
    <x v="0"/>
  </r>
  <r>
    <n v="290"/>
    <x v="117"/>
    <x v="0"/>
    <x v="0"/>
    <n v="2"/>
    <n v="2492"/>
    <n v="4984"/>
    <x v="3"/>
  </r>
  <r>
    <n v="55"/>
    <x v="118"/>
    <x v="5"/>
    <x v="3"/>
    <n v="2"/>
    <n v="2491"/>
    <n v="4982"/>
    <x v="1"/>
  </r>
  <r>
    <n v="51"/>
    <x v="119"/>
    <x v="8"/>
    <x v="0"/>
    <n v="3"/>
    <n v="1651"/>
    <n v="4953"/>
    <x v="3"/>
  </r>
  <r>
    <n v="68"/>
    <x v="57"/>
    <x v="4"/>
    <x v="3"/>
    <n v="2"/>
    <n v="2475"/>
    <n v="4950"/>
    <x v="2"/>
  </r>
  <r>
    <n v="71"/>
    <x v="53"/>
    <x v="7"/>
    <x v="1"/>
    <n v="3"/>
    <n v="1646"/>
    <n v="4938"/>
    <x v="1"/>
  </r>
  <r>
    <n v="228"/>
    <x v="120"/>
    <x v="3"/>
    <x v="3"/>
    <n v="5"/>
    <n v="986"/>
    <n v="4930"/>
    <x v="2"/>
  </r>
  <r>
    <n v="181"/>
    <x v="46"/>
    <x v="5"/>
    <x v="3"/>
    <n v="4"/>
    <n v="1214"/>
    <n v="4856"/>
    <x v="2"/>
  </r>
  <r>
    <n v="294"/>
    <x v="121"/>
    <x v="2"/>
    <x v="2"/>
    <n v="2"/>
    <n v="2357"/>
    <n v="4714"/>
    <x v="2"/>
  </r>
  <r>
    <n v="121"/>
    <x v="122"/>
    <x v="5"/>
    <x v="3"/>
    <n v="5"/>
    <n v="938"/>
    <n v="4690"/>
    <x v="1"/>
  </r>
  <r>
    <n v="44"/>
    <x v="123"/>
    <x v="9"/>
    <x v="1"/>
    <n v="2"/>
    <n v="2318"/>
    <n v="4636"/>
    <x v="1"/>
  </r>
  <r>
    <n v="27"/>
    <x v="124"/>
    <x v="7"/>
    <x v="1"/>
    <n v="5"/>
    <n v="921"/>
    <n v="4605"/>
    <x v="2"/>
  </r>
  <r>
    <n v="124"/>
    <x v="125"/>
    <x v="1"/>
    <x v="1"/>
    <n v="3"/>
    <n v="1518"/>
    <n v="4554"/>
    <x v="3"/>
  </r>
  <r>
    <n v="241"/>
    <x v="126"/>
    <x v="2"/>
    <x v="2"/>
    <n v="4"/>
    <n v="1129"/>
    <n v="4516"/>
    <x v="1"/>
  </r>
  <r>
    <n v="117"/>
    <x v="127"/>
    <x v="1"/>
    <x v="1"/>
    <n v="2"/>
    <n v="2166"/>
    <n v="4332"/>
    <x v="0"/>
  </r>
  <r>
    <n v="235"/>
    <x v="128"/>
    <x v="5"/>
    <x v="3"/>
    <n v="2"/>
    <n v="2138"/>
    <n v="4276"/>
    <x v="0"/>
  </r>
  <r>
    <n v="262"/>
    <x v="24"/>
    <x v="6"/>
    <x v="1"/>
    <n v="4"/>
    <n v="1060"/>
    <n v="4240"/>
    <x v="3"/>
  </r>
  <r>
    <n v="176"/>
    <x v="129"/>
    <x v="2"/>
    <x v="2"/>
    <n v="3"/>
    <n v="1384"/>
    <n v="4152"/>
    <x v="1"/>
  </r>
  <r>
    <n v="284"/>
    <x v="119"/>
    <x v="6"/>
    <x v="1"/>
    <n v="2"/>
    <n v="2063"/>
    <n v="4126"/>
    <x v="0"/>
  </r>
  <r>
    <n v="12"/>
    <x v="80"/>
    <x v="4"/>
    <x v="3"/>
    <n v="1"/>
    <n v="3973"/>
    <n v="3973"/>
    <x v="3"/>
  </r>
  <r>
    <n v="13"/>
    <x v="130"/>
    <x v="7"/>
    <x v="1"/>
    <n v="3"/>
    <n v="1316"/>
    <n v="3948"/>
    <x v="0"/>
  </r>
  <r>
    <n v="61"/>
    <x v="115"/>
    <x v="5"/>
    <x v="3"/>
    <n v="4"/>
    <n v="984"/>
    <n v="3936"/>
    <x v="2"/>
  </r>
  <r>
    <n v="142"/>
    <x v="124"/>
    <x v="6"/>
    <x v="1"/>
    <n v="3"/>
    <n v="1305"/>
    <n v="3915"/>
    <x v="3"/>
  </r>
  <r>
    <n v="292"/>
    <x v="60"/>
    <x v="6"/>
    <x v="1"/>
    <n v="1"/>
    <n v="3894"/>
    <n v="3894"/>
    <x v="3"/>
  </r>
  <r>
    <n v="159"/>
    <x v="131"/>
    <x v="9"/>
    <x v="1"/>
    <n v="1"/>
    <n v="3861"/>
    <n v="3861"/>
    <x v="3"/>
  </r>
  <r>
    <n v="270"/>
    <x v="132"/>
    <x v="1"/>
    <x v="1"/>
    <n v="2"/>
    <n v="1919"/>
    <n v="3838"/>
    <x v="0"/>
  </r>
  <r>
    <n v="59"/>
    <x v="133"/>
    <x v="5"/>
    <x v="3"/>
    <n v="1"/>
    <n v="3836"/>
    <n v="3836"/>
    <x v="0"/>
  </r>
  <r>
    <n v="38"/>
    <x v="134"/>
    <x v="9"/>
    <x v="1"/>
    <n v="2"/>
    <n v="1900"/>
    <n v="3800"/>
    <x v="0"/>
  </r>
  <r>
    <n v="118"/>
    <x v="34"/>
    <x v="3"/>
    <x v="3"/>
    <n v="5"/>
    <n v="759"/>
    <n v="3795"/>
    <x v="1"/>
  </r>
  <r>
    <n v="56"/>
    <x v="135"/>
    <x v="3"/>
    <x v="3"/>
    <n v="2"/>
    <n v="1877"/>
    <n v="3754"/>
    <x v="0"/>
  </r>
  <r>
    <n v="42"/>
    <x v="136"/>
    <x v="1"/>
    <x v="1"/>
    <n v="1"/>
    <n v="3725"/>
    <n v="3725"/>
    <x v="3"/>
  </r>
  <r>
    <n v="243"/>
    <x v="108"/>
    <x v="3"/>
    <x v="3"/>
    <n v="1"/>
    <n v="3703"/>
    <n v="3703"/>
    <x v="3"/>
  </r>
  <r>
    <n v="266"/>
    <x v="137"/>
    <x v="1"/>
    <x v="1"/>
    <n v="3"/>
    <n v="1223"/>
    <n v="3669"/>
    <x v="1"/>
  </r>
  <r>
    <n v="169"/>
    <x v="5"/>
    <x v="1"/>
    <x v="1"/>
    <n v="1"/>
    <n v="3654"/>
    <n v="3654"/>
    <x v="2"/>
  </r>
  <r>
    <n v="276"/>
    <x v="138"/>
    <x v="8"/>
    <x v="0"/>
    <n v="1"/>
    <n v="3629"/>
    <n v="3629"/>
    <x v="0"/>
  </r>
  <r>
    <n v="220"/>
    <x v="139"/>
    <x v="9"/>
    <x v="1"/>
    <n v="1"/>
    <n v="3603"/>
    <n v="3603"/>
    <x v="0"/>
  </r>
  <r>
    <n v="87"/>
    <x v="140"/>
    <x v="7"/>
    <x v="1"/>
    <n v="3"/>
    <n v="1195"/>
    <n v="3585"/>
    <x v="0"/>
  </r>
  <r>
    <n v="69"/>
    <x v="21"/>
    <x v="7"/>
    <x v="1"/>
    <n v="2"/>
    <n v="1791"/>
    <n v="3582"/>
    <x v="0"/>
  </r>
  <r>
    <n v="3"/>
    <x v="141"/>
    <x v="5"/>
    <x v="3"/>
    <n v="2"/>
    <n v="1780"/>
    <n v="3560"/>
    <x v="1"/>
  </r>
  <r>
    <n v="109"/>
    <x v="15"/>
    <x v="6"/>
    <x v="1"/>
    <n v="1"/>
    <n v="3551"/>
    <n v="3551"/>
    <x v="2"/>
  </r>
  <r>
    <n v="115"/>
    <x v="8"/>
    <x v="6"/>
    <x v="1"/>
    <n v="1"/>
    <n v="3449"/>
    <n v="3449"/>
    <x v="1"/>
  </r>
  <r>
    <n v="65"/>
    <x v="141"/>
    <x v="8"/>
    <x v="0"/>
    <n v="1"/>
    <n v="3436"/>
    <n v="3436"/>
    <x v="3"/>
  </r>
  <r>
    <n v="94"/>
    <x v="106"/>
    <x v="5"/>
    <x v="3"/>
    <n v="1"/>
    <n v="3431"/>
    <n v="3431"/>
    <x v="2"/>
  </r>
  <r>
    <n v="199"/>
    <x v="142"/>
    <x v="5"/>
    <x v="3"/>
    <n v="2"/>
    <n v="1709"/>
    <n v="3418"/>
    <x v="1"/>
  </r>
  <r>
    <n v="221"/>
    <x v="143"/>
    <x v="8"/>
    <x v="0"/>
    <n v="2"/>
    <n v="1683"/>
    <n v="3366"/>
    <x v="0"/>
  </r>
  <r>
    <n v="170"/>
    <x v="143"/>
    <x v="7"/>
    <x v="1"/>
    <n v="2"/>
    <n v="1666"/>
    <n v="3332"/>
    <x v="1"/>
  </r>
  <r>
    <n v="263"/>
    <x v="144"/>
    <x v="5"/>
    <x v="3"/>
    <n v="2"/>
    <n v="1615"/>
    <n v="3230"/>
    <x v="1"/>
  </r>
  <r>
    <n v="9"/>
    <x v="126"/>
    <x v="3"/>
    <x v="3"/>
    <n v="3"/>
    <n v="1076"/>
    <n v="3228"/>
    <x v="3"/>
  </r>
  <r>
    <n v="95"/>
    <x v="145"/>
    <x v="7"/>
    <x v="1"/>
    <n v="1"/>
    <n v="3210"/>
    <n v="3210"/>
    <x v="2"/>
  </r>
  <r>
    <n v="149"/>
    <x v="74"/>
    <x v="3"/>
    <x v="3"/>
    <n v="1"/>
    <n v="3210"/>
    <n v="3210"/>
    <x v="1"/>
  </r>
  <r>
    <n v="138"/>
    <x v="122"/>
    <x v="4"/>
    <x v="3"/>
    <n v="5"/>
    <n v="627"/>
    <n v="3135"/>
    <x v="3"/>
  </r>
  <r>
    <n v="66"/>
    <x v="2"/>
    <x v="4"/>
    <x v="3"/>
    <n v="1"/>
    <n v="3081"/>
    <n v="3081"/>
    <x v="0"/>
  </r>
  <r>
    <n v="102"/>
    <x v="20"/>
    <x v="6"/>
    <x v="1"/>
    <n v="4"/>
    <n v="761"/>
    <n v="3044"/>
    <x v="2"/>
  </r>
  <r>
    <n v="171"/>
    <x v="146"/>
    <x v="3"/>
    <x v="3"/>
    <n v="1"/>
    <n v="3019"/>
    <n v="3019"/>
    <x v="2"/>
  </r>
  <r>
    <n v="148"/>
    <x v="147"/>
    <x v="7"/>
    <x v="1"/>
    <n v="1"/>
    <n v="2989"/>
    <n v="2989"/>
    <x v="1"/>
  </r>
  <r>
    <n v="283"/>
    <x v="148"/>
    <x v="8"/>
    <x v="0"/>
    <n v="1"/>
    <n v="2963"/>
    <n v="2963"/>
    <x v="0"/>
  </r>
  <r>
    <n v="157"/>
    <x v="65"/>
    <x v="6"/>
    <x v="1"/>
    <n v="1"/>
    <n v="2962"/>
    <n v="2962"/>
    <x v="3"/>
  </r>
  <r>
    <n v="74"/>
    <x v="41"/>
    <x v="3"/>
    <x v="3"/>
    <n v="3"/>
    <n v="978"/>
    <n v="2934"/>
    <x v="2"/>
  </r>
  <r>
    <n v="213"/>
    <x v="18"/>
    <x v="3"/>
    <x v="3"/>
    <n v="4"/>
    <n v="733"/>
    <n v="2932"/>
    <x v="0"/>
  </r>
  <r>
    <n v="78"/>
    <x v="149"/>
    <x v="7"/>
    <x v="1"/>
    <n v="3"/>
    <n v="971"/>
    <n v="2913"/>
    <x v="3"/>
  </r>
  <r>
    <n v="278"/>
    <x v="131"/>
    <x v="9"/>
    <x v="1"/>
    <n v="1"/>
    <n v="2910"/>
    <n v="2910"/>
    <x v="0"/>
  </r>
  <r>
    <n v="185"/>
    <x v="128"/>
    <x v="7"/>
    <x v="1"/>
    <n v="1"/>
    <n v="2909"/>
    <n v="2909"/>
    <x v="3"/>
  </r>
  <r>
    <n v="1"/>
    <x v="150"/>
    <x v="5"/>
    <x v="3"/>
    <n v="1"/>
    <n v="2899"/>
    <n v="2899"/>
    <x v="1"/>
  </r>
  <r>
    <n v="248"/>
    <x v="151"/>
    <x v="8"/>
    <x v="0"/>
    <n v="5"/>
    <n v="577"/>
    <n v="2885"/>
    <x v="1"/>
  </r>
  <r>
    <n v="154"/>
    <x v="152"/>
    <x v="5"/>
    <x v="3"/>
    <n v="5"/>
    <n v="576"/>
    <n v="2880"/>
    <x v="0"/>
  </r>
  <r>
    <n v="116"/>
    <x v="153"/>
    <x v="8"/>
    <x v="0"/>
    <n v="1"/>
    <n v="2877"/>
    <n v="2877"/>
    <x v="1"/>
  </r>
  <r>
    <n v="105"/>
    <x v="154"/>
    <x v="2"/>
    <x v="2"/>
    <n v="5"/>
    <n v="574"/>
    <n v="2870"/>
    <x v="2"/>
  </r>
  <r>
    <n v="112"/>
    <x v="69"/>
    <x v="2"/>
    <x v="2"/>
    <n v="3"/>
    <n v="953"/>
    <n v="2859"/>
    <x v="0"/>
  </r>
  <r>
    <n v="219"/>
    <x v="46"/>
    <x v="8"/>
    <x v="0"/>
    <n v="5"/>
    <n v="570"/>
    <n v="2850"/>
    <x v="1"/>
  </r>
  <r>
    <n v="217"/>
    <x v="84"/>
    <x v="0"/>
    <x v="0"/>
    <n v="1"/>
    <n v="2827"/>
    <n v="2827"/>
    <x v="3"/>
  </r>
  <r>
    <n v="232"/>
    <x v="129"/>
    <x v="9"/>
    <x v="1"/>
    <n v="1"/>
    <n v="2717"/>
    <n v="2717"/>
    <x v="1"/>
  </r>
  <r>
    <n v="250"/>
    <x v="31"/>
    <x v="5"/>
    <x v="3"/>
    <n v="1"/>
    <n v="2685"/>
    <n v="2685"/>
    <x v="3"/>
  </r>
  <r>
    <n v="208"/>
    <x v="9"/>
    <x v="4"/>
    <x v="3"/>
    <n v="1"/>
    <n v="2666"/>
    <n v="2666"/>
    <x v="3"/>
  </r>
  <r>
    <n v="224"/>
    <x v="155"/>
    <x v="2"/>
    <x v="2"/>
    <n v="3"/>
    <n v="856"/>
    <n v="2568"/>
    <x v="3"/>
  </r>
  <r>
    <n v="233"/>
    <x v="156"/>
    <x v="8"/>
    <x v="0"/>
    <n v="1"/>
    <n v="2480"/>
    <n v="2480"/>
    <x v="1"/>
  </r>
  <r>
    <n v="141"/>
    <x v="87"/>
    <x v="7"/>
    <x v="1"/>
    <n v="4"/>
    <n v="615"/>
    <n v="2460"/>
    <x v="1"/>
  </r>
  <r>
    <n v="177"/>
    <x v="157"/>
    <x v="8"/>
    <x v="0"/>
    <n v="1"/>
    <n v="2425"/>
    <n v="2425"/>
    <x v="2"/>
  </r>
  <r>
    <n v="267"/>
    <x v="50"/>
    <x v="8"/>
    <x v="0"/>
    <n v="1"/>
    <n v="2419"/>
    <n v="2419"/>
    <x v="1"/>
  </r>
  <r>
    <n v="282"/>
    <x v="79"/>
    <x v="5"/>
    <x v="3"/>
    <n v="3"/>
    <n v="797"/>
    <n v="2391"/>
    <x v="1"/>
  </r>
  <r>
    <n v="147"/>
    <x v="158"/>
    <x v="6"/>
    <x v="1"/>
    <n v="1"/>
    <n v="2345"/>
    <n v="2345"/>
    <x v="3"/>
  </r>
  <r>
    <n v="205"/>
    <x v="159"/>
    <x v="7"/>
    <x v="1"/>
    <n v="1"/>
    <n v="2337"/>
    <n v="2337"/>
    <x v="1"/>
  </r>
  <r>
    <n v="242"/>
    <x v="160"/>
    <x v="6"/>
    <x v="1"/>
    <n v="5"/>
    <n v="462"/>
    <n v="2310"/>
    <x v="1"/>
  </r>
  <r>
    <n v="275"/>
    <x v="19"/>
    <x v="8"/>
    <x v="0"/>
    <n v="2"/>
    <n v="1155"/>
    <n v="2310"/>
    <x v="1"/>
  </r>
  <r>
    <n v="152"/>
    <x v="143"/>
    <x v="3"/>
    <x v="3"/>
    <n v="2"/>
    <n v="1141"/>
    <n v="2282"/>
    <x v="0"/>
  </r>
  <r>
    <n v="264"/>
    <x v="122"/>
    <x v="7"/>
    <x v="1"/>
    <n v="4"/>
    <n v="567"/>
    <n v="2268"/>
    <x v="1"/>
  </r>
  <r>
    <n v="182"/>
    <x v="131"/>
    <x v="7"/>
    <x v="1"/>
    <n v="1"/>
    <n v="2265"/>
    <n v="2265"/>
    <x v="3"/>
  </r>
  <r>
    <n v="79"/>
    <x v="159"/>
    <x v="6"/>
    <x v="1"/>
    <n v="1"/>
    <n v="2249"/>
    <n v="2249"/>
    <x v="2"/>
  </r>
  <r>
    <n v="143"/>
    <x v="60"/>
    <x v="6"/>
    <x v="1"/>
    <n v="3"/>
    <n v="742"/>
    <n v="2226"/>
    <x v="3"/>
  </r>
  <r>
    <n v="128"/>
    <x v="161"/>
    <x v="1"/>
    <x v="1"/>
    <n v="4"/>
    <n v="552"/>
    <n v="2208"/>
    <x v="2"/>
  </r>
  <r>
    <n v="207"/>
    <x v="162"/>
    <x v="7"/>
    <x v="1"/>
    <n v="2"/>
    <n v="1088"/>
    <n v="2176"/>
    <x v="3"/>
  </r>
  <r>
    <n v="261"/>
    <x v="163"/>
    <x v="4"/>
    <x v="3"/>
    <n v="1"/>
    <n v="2047"/>
    <n v="2047"/>
    <x v="2"/>
  </r>
  <r>
    <n v="190"/>
    <x v="164"/>
    <x v="1"/>
    <x v="1"/>
    <n v="3"/>
    <n v="680"/>
    <n v="2040"/>
    <x v="1"/>
  </r>
  <r>
    <n v="218"/>
    <x v="165"/>
    <x v="0"/>
    <x v="0"/>
    <n v="3"/>
    <n v="680"/>
    <n v="2040"/>
    <x v="3"/>
  </r>
  <r>
    <n v="189"/>
    <x v="110"/>
    <x v="8"/>
    <x v="0"/>
    <n v="1"/>
    <n v="1994"/>
    <n v="1994"/>
    <x v="3"/>
  </r>
  <r>
    <n v="58"/>
    <x v="6"/>
    <x v="2"/>
    <x v="2"/>
    <n v="2"/>
    <n v="980"/>
    <n v="1960"/>
    <x v="2"/>
  </r>
  <r>
    <n v="227"/>
    <x v="166"/>
    <x v="6"/>
    <x v="1"/>
    <n v="1"/>
    <n v="1955"/>
    <n v="1955"/>
    <x v="1"/>
  </r>
  <r>
    <n v="240"/>
    <x v="102"/>
    <x v="4"/>
    <x v="3"/>
    <n v="4"/>
    <n v="471"/>
    <n v="1884"/>
    <x v="0"/>
  </r>
  <r>
    <n v="107"/>
    <x v="167"/>
    <x v="4"/>
    <x v="3"/>
    <n v="1"/>
    <n v="1870"/>
    <n v="1870"/>
    <x v="3"/>
  </r>
  <r>
    <n v="131"/>
    <x v="168"/>
    <x v="0"/>
    <x v="0"/>
    <n v="1"/>
    <n v="1870"/>
    <n v="1870"/>
    <x v="3"/>
  </r>
  <r>
    <n v="191"/>
    <x v="169"/>
    <x v="5"/>
    <x v="3"/>
    <n v="1"/>
    <n v="1838"/>
    <n v="1838"/>
    <x v="2"/>
  </r>
  <r>
    <n v="80"/>
    <x v="143"/>
    <x v="1"/>
    <x v="1"/>
    <n v="1"/>
    <n v="1799"/>
    <n v="1799"/>
    <x v="3"/>
  </r>
  <r>
    <n v="211"/>
    <x v="131"/>
    <x v="4"/>
    <x v="3"/>
    <n v="5"/>
    <n v="351"/>
    <n v="1755"/>
    <x v="1"/>
  </r>
  <r>
    <n v="216"/>
    <x v="170"/>
    <x v="2"/>
    <x v="2"/>
    <n v="1"/>
    <n v="1730"/>
    <n v="1730"/>
    <x v="1"/>
  </r>
  <r>
    <n v="8"/>
    <x v="171"/>
    <x v="3"/>
    <x v="3"/>
    <n v="2"/>
    <n v="863"/>
    <n v="1726"/>
    <x v="3"/>
  </r>
  <r>
    <n v="24"/>
    <x v="172"/>
    <x v="4"/>
    <x v="3"/>
    <n v="1"/>
    <n v="1712"/>
    <n v="1712"/>
    <x v="1"/>
  </r>
  <r>
    <n v="29"/>
    <x v="91"/>
    <x v="7"/>
    <x v="1"/>
    <n v="1"/>
    <n v="1633"/>
    <n v="1633"/>
    <x v="3"/>
  </r>
  <r>
    <n v="70"/>
    <x v="14"/>
    <x v="8"/>
    <x v="0"/>
    <n v="1"/>
    <n v="1630"/>
    <n v="1630"/>
    <x v="3"/>
  </r>
  <r>
    <n v="167"/>
    <x v="173"/>
    <x v="8"/>
    <x v="0"/>
    <n v="1"/>
    <n v="1626"/>
    <n v="1626"/>
    <x v="0"/>
  </r>
  <r>
    <n v="150"/>
    <x v="174"/>
    <x v="4"/>
    <x v="3"/>
    <n v="1"/>
    <n v="1603"/>
    <n v="1603"/>
    <x v="2"/>
  </r>
  <r>
    <n v="99"/>
    <x v="58"/>
    <x v="4"/>
    <x v="3"/>
    <n v="2"/>
    <n v="795"/>
    <n v="1590"/>
    <x v="3"/>
  </r>
  <r>
    <n v="126"/>
    <x v="175"/>
    <x v="2"/>
    <x v="2"/>
    <n v="3"/>
    <n v="525"/>
    <n v="1575"/>
    <x v="0"/>
  </r>
  <r>
    <n v="215"/>
    <x v="176"/>
    <x v="0"/>
    <x v="0"/>
    <n v="1"/>
    <n v="1573"/>
    <n v="1573"/>
    <x v="1"/>
  </r>
  <r>
    <n v="16"/>
    <x v="22"/>
    <x v="7"/>
    <x v="1"/>
    <n v="3"/>
    <n v="514"/>
    <n v="1542"/>
    <x v="0"/>
  </r>
  <r>
    <n v="125"/>
    <x v="177"/>
    <x v="3"/>
    <x v="3"/>
    <n v="1"/>
    <n v="1541"/>
    <n v="1541"/>
    <x v="1"/>
  </r>
  <r>
    <n v="134"/>
    <x v="124"/>
    <x v="7"/>
    <x v="1"/>
    <n v="4"/>
    <n v="374"/>
    <n v="1496"/>
    <x v="2"/>
  </r>
  <r>
    <n v="36"/>
    <x v="178"/>
    <x v="5"/>
    <x v="3"/>
    <n v="1"/>
    <n v="1384"/>
    <n v="1384"/>
    <x v="2"/>
  </r>
  <r>
    <n v="247"/>
    <x v="69"/>
    <x v="7"/>
    <x v="1"/>
    <n v="2"/>
    <n v="684"/>
    <n v="1368"/>
    <x v="1"/>
  </r>
  <r>
    <n v="251"/>
    <x v="179"/>
    <x v="4"/>
    <x v="3"/>
    <n v="1"/>
    <n v="1296"/>
    <n v="1296"/>
    <x v="3"/>
  </r>
  <r>
    <n v="93"/>
    <x v="72"/>
    <x v="4"/>
    <x v="3"/>
    <n v="3"/>
    <n v="425"/>
    <n v="1275"/>
    <x v="0"/>
  </r>
  <r>
    <n v="63"/>
    <x v="180"/>
    <x v="6"/>
    <x v="1"/>
    <n v="2"/>
    <n v="632"/>
    <n v="1264"/>
    <x v="2"/>
  </r>
  <r>
    <n v="277"/>
    <x v="113"/>
    <x v="3"/>
    <x v="3"/>
    <n v="3"/>
    <n v="419"/>
    <n v="1257"/>
    <x v="3"/>
  </r>
  <r>
    <n v="60"/>
    <x v="133"/>
    <x v="7"/>
    <x v="1"/>
    <n v="1"/>
    <n v="1222"/>
    <n v="1222"/>
    <x v="0"/>
  </r>
  <r>
    <n v="75"/>
    <x v="181"/>
    <x v="8"/>
    <x v="0"/>
    <n v="1"/>
    <n v="1194"/>
    <n v="1194"/>
    <x v="0"/>
  </r>
  <r>
    <n v="145"/>
    <x v="79"/>
    <x v="0"/>
    <x v="0"/>
    <n v="1"/>
    <n v="1187"/>
    <n v="1187"/>
    <x v="2"/>
  </r>
  <r>
    <n v="238"/>
    <x v="135"/>
    <x v="3"/>
    <x v="3"/>
    <n v="1"/>
    <n v="1168"/>
    <n v="1168"/>
    <x v="3"/>
  </r>
  <r>
    <n v="146"/>
    <x v="31"/>
    <x v="9"/>
    <x v="1"/>
    <n v="1"/>
    <n v="1151"/>
    <n v="1151"/>
    <x v="2"/>
  </r>
  <r>
    <n v="196"/>
    <x v="19"/>
    <x v="8"/>
    <x v="0"/>
    <n v="2"/>
    <n v="564"/>
    <n v="1128"/>
    <x v="3"/>
  </r>
  <r>
    <n v="192"/>
    <x v="174"/>
    <x v="8"/>
    <x v="0"/>
    <n v="1"/>
    <n v="1100"/>
    <n v="1100"/>
    <x v="3"/>
  </r>
  <r>
    <n v="22"/>
    <x v="109"/>
    <x v="2"/>
    <x v="2"/>
    <n v="1"/>
    <n v="1087"/>
    <n v="1087"/>
    <x v="1"/>
  </r>
  <r>
    <n v="281"/>
    <x v="182"/>
    <x v="5"/>
    <x v="3"/>
    <n v="3"/>
    <n v="360"/>
    <n v="1080"/>
    <x v="3"/>
  </r>
  <r>
    <n v="252"/>
    <x v="135"/>
    <x v="9"/>
    <x v="1"/>
    <n v="2"/>
    <n v="529"/>
    <n v="1058"/>
    <x v="0"/>
  </r>
  <r>
    <n v="32"/>
    <x v="183"/>
    <x v="3"/>
    <x v="3"/>
    <n v="1"/>
    <n v="1020"/>
    <n v="1020"/>
    <x v="0"/>
  </r>
  <r>
    <n v="163"/>
    <x v="122"/>
    <x v="7"/>
    <x v="1"/>
    <n v="1"/>
    <n v="1015"/>
    <n v="1015"/>
    <x v="0"/>
  </r>
  <r>
    <n v="225"/>
    <x v="184"/>
    <x v="0"/>
    <x v="0"/>
    <n v="5"/>
    <n v="203"/>
    <n v="1015"/>
    <x v="1"/>
  </r>
  <r>
    <n v="271"/>
    <x v="185"/>
    <x v="2"/>
    <x v="2"/>
    <n v="5"/>
    <n v="196"/>
    <n v="980"/>
    <x v="0"/>
  </r>
  <r>
    <n v="6"/>
    <x v="186"/>
    <x v="4"/>
    <x v="3"/>
    <n v="2"/>
    <n v="485"/>
    <n v="970"/>
    <x v="3"/>
  </r>
  <r>
    <n v="253"/>
    <x v="187"/>
    <x v="5"/>
    <x v="3"/>
    <n v="1"/>
    <n v="956"/>
    <n v="956"/>
    <x v="1"/>
  </r>
  <r>
    <n v="119"/>
    <x v="182"/>
    <x v="5"/>
    <x v="3"/>
    <n v="4"/>
    <n v="235"/>
    <n v="940"/>
    <x v="1"/>
  </r>
  <r>
    <n v="86"/>
    <x v="188"/>
    <x v="1"/>
    <x v="1"/>
    <n v="1"/>
    <n v="932"/>
    <n v="932"/>
    <x v="1"/>
  </r>
  <r>
    <n v="296"/>
    <x v="189"/>
    <x v="6"/>
    <x v="1"/>
    <n v="1"/>
    <n v="913"/>
    <n v="913"/>
    <x v="1"/>
  </r>
  <r>
    <n v="62"/>
    <x v="190"/>
    <x v="0"/>
    <x v="0"/>
    <n v="1"/>
    <n v="896"/>
    <n v="896"/>
    <x v="0"/>
  </r>
  <r>
    <n v="265"/>
    <x v="52"/>
    <x v="7"/>
    <x v="1"/>
    <n v="5"/>
    <n v="177"/>
    <n v="885"/>
    <x v="3"/>
  </r>
  <r>
    <n v="19"/>
    <x v="191"/>
    <x v="0"/>
    <x v="0"/>
    <n v="2"/>
    <n v="437"/>
    <n v="874"/>
    <x v="3"/>
  </r>
  <r>
    <n v="10"/>
    <x v="138"/>
    <x v="4"/>
    <x v="3"/>
    <n v="5"/>
    <n v="171"/>
    <n v="855"/>
    <x v="3"/>
  </r>
  <r>
    <n v="164"/>
    <x v="40"/>
    <x v="5"/>
    <x v="3"/>
    <n v="3"/>
    <n v="273"/>
    <n v="819"/>
    <x v="0"/>
  </r>
  <r>
    <n v="223"/>
    <x v="192"/>
    <x v="2"/>
    <x v="2"/>
    <n v="1"/>
    <n v="784"/>
    <n v="784"/>
    <x v="3"/>
  </r>
  <r>
    <n v="209"/>
    <x v="130"/>
    <x v="8"/>
    <x v="0"/>
    <n v="2"/>
    <n v="340"/>
    <n v="680"/>
    <x v="2"/>
  </r>
  <r>
    <n v="279"/>
    <x v="193"/>
    <x v="9"/>
    <x v="1"/>
    <n v="2"/>
    <n v="330"/>
    <n v="660"/>
    <x v="2"/>
  </r>
  <r>
    <n v="127"/>
    <x v="194"/>
    <x v="6"/>
    <x v="1"/>
    <n v="5"/>
    <n v="124"/>
    <n v="620"/>
    <x v="3"/>
  </r>
  <r>
    <n v="21"/>
    <x v="195"/>
    <x v="3"/>
    <x v="3"/>
    <n v="4"/>
    <n v="153"/>
    <n v="612"/>
    <x v="3"/>
  </r>
  <r>
    <n v="18"/>
    <x v="47"/>
    <x v="3"/>
    <x v="3"/>
    <n v="1"/>
    <n v="603"/>
    <n v="603"/>
    <x v="0"/>
  </r>
  <r>
    <n v="249"/>
    <x v="196"/>
    <x v="3"/>
    <x v="3"/>
    <n v="2"/>
    <n v="287"/>
    <n v="574"/>
    <x v="3"/>
  </r>
  <r>
    <n v="103"/>
    <x v="81"/>
    <x v="7"/>
    <x v="1"/>
    <n v="5"/>
    <n v="86"/>
    <n v="430"/>
    <x v="2"/>
  </r>
  <r>
    <n v="175"/>
    <x v="197"/>
    <x v="9"/>
    <x v="1"/>
    <n v="5"/>
    <n v="86"/>
    <n v="430"/>
    <x v="0"/>
  </r>
  <r>
    <n v="202"/>
    <x v="198"/>
    <x v="2"/>
    <x v="2"/>
    <n v="2"/>
    <n v="211"/>
    <n v="422"/>
    <x v="2"/>
  </r>
  <r>
    <n v="160"/>
    <x v="137"/>
    <x v="5"/>
    <x v="3"/>
    <n v="1"/>
    <n v="356"/>
    <n v="356"/>
    <x v="0"/>
  </r>
  <r>
    <n v="274"/>
    <x v="199"/>
    <x v="8"/>
    <x v="0"/>
    <n v="1"/>
    <n v="349"/>
    <n v="349"/>
    <x v="3"/>
  </r>
  <r>
    <n v="82"/>
    <x v="48"/>
    <x v="7"/>
    <x v="1"/>
    <n v="1"/>
    <n v="309"/>
    <n v="309"/>
    <x v="2"/>
  </r>
  <r>
    <n v="49"/>
    <x v="200"/>
    <x v="8"/>
    <x v="0"/>
    <n v="1"/>
    <n v="265"/>
    <n v="265"/>
    <x v="3"/>
  </r>
  <r>
    <n v="179"/>
    <x v="201"/>
    <x v="5"/>
    <x v="3"/>
    <n v="1"/>
    <n v="251"/>
    <n v="251"/>
    <x v="1"/>
  </r>
  <r>
    <n v="84"/>
    <x v="202"/>
    <x v="8"/>
    <x v="0"/>
    <n v="2"/>
    <n v="105"/>
    <n v="210"/>
    <x v="3"/>
  </r>
  <r>
    <n v="298"/>
    <x v="203"/>
    <x v="6"/>
    <x v="1"/>
    <n v="1"/>
    <n v="194"/>
    <n v="194"/>
    <x v="2"/>
  </r>
  <r>
    <n v="129"/>
    <x v="76"/>
    <x v="6"/>
    <x v="1"/>
    <n v="3"/>
    <n v="62"/>
    <n v="186"/>
    <x v="0"/>
  </r>
  <r>
    <n v="151"/>
    <x v="108"/>
    <x v="9"/>
    <x v="1"/>
    <n v="3"/>
    <n v="61"/>
    <n v="183"/>
    <x v="3"/>
  </r>
  <r>
    <n v="286"/>
    <x v="58"/>
    <x v="2"/>
    <x v="2"/>
    <n v="3"/>
    <n v="59"/>
    <n v="177"/>
    <x v="1"/>
  </r>
  <r>
    <n v="67"/>
    <x v="123"/>
    <x v="7"/>
    <x v="1"/>
    <n v="2"/>
    <n v="79"/>
    <n v="158"/>
    <x v="3"/>
  </r>
  <r>
    <n v="297"/>
    <x v="165"/>
    <x v="8"/>
    <x v="0"/>
    <n v="1"/>
    <n v="126"/>
    <n v="12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BEEB-BA61-4848-9E5C-8329A56B393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H4" firstHeaderRow="1" firstDataRow="1" firstDataCol="1"/>
  <pivotFields count="8">
    <pivotField showAll="0"/>
    <pivotField showAll="0"/>
    <pivotField showAll="0"/>
    <pivotField showAll="0">
      <items count="5">
        <item h="1" x="3"/>
        <item h="1" x="0"/>
        <item h="1" x="2"/>
        <item x="1"/>
        <item t="default"/>
      </items>
    </pivotField>
    <pivotField showAll="0"/>
    <pivotField numFmtId="44" showAll="0"/>
    <pivotField dataField="1" numFmtId="44" showAll="0"/>
    <pivotField axis="axisRow" showAll="0">
      <items count="5">
        <item x="0"/>
        <item h="1" x="2"/>
        <item h="1" x="1"/>
        <item h="1" x="3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Soma de valor_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26953-F2C5-45B9-B394-099CCD13A045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U22:W39" firstHeaderRow="1" firstDataRow="1" firstDataCol="0"/>
  <pivotFields count="8">
    <pivotField showAll="0"/>
    <pivotField showAll="0"/>
    <pivotField showAll="0"/>
    <pivotField showAll="0"/>
    <pivotField showAll="0"/>
    <pivotField numFmtId="44" showAll="0"/>
    <pivotField numFmtId="44" showAll="0"/>
    <pivotField showAll="0" avgSubtotal="1">
      <items count="5">
        <item x="0"/>
        <item h="1" x="2"/>
        <item h="1" x="1"/>
        <item h="1" x="3"/>
        <item t="avg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BD7D6-FEDC-4B53-941B-8BFB3AF26D1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P25:Q36" firstHeaderRow="1" firstDataRow="1" firstDataCol="1"/>
  <pivotFields count="8">
    <pivotField showAll="0"/>
    <pivotField showAll="0"/>
    <pivotField axis="axisRow" showAll="0">
      <items count="11">
        <item x="2"/>
        <item x="4"/>
        <item x="9"/>
        <item x="8"/>
        <item x="1"/>
        <item x="0"/>
        <item x="3"/>
        <item x="5"/>
        <item x="7"/>
        <item x="6"/>
        <item t="default"/>
      </items>
    </pivotField>
    <pivotField showAll="0">
      <items count="5">
        <item h="1" x="3"/>
        <item h="1" x="0"/>
        <item h="1" x="2"/>
        <item x="1"/>
        <item t="default"/>
      </items>
    </pivotField>
    <pivotField showAll="0"/>
    <pivotField numFmtId="44" showAll="0"/>
    <pivotField dataField="1" numFmtId="44" showAll="0"/>
    <pivotField showAll="0">
      <items count="5">
        <item x="0"/>
        <item h="1" x="2"/>
        <item h="1" x="1"/>
        <item h="1" x="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_total" fld="6" baseField="0" baseItem="0"/>
  </dataFields>
  <formats count="1">
    <format dxfId="2">
      <pivotArea grandRow="1" outline="0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B22A4-0EC4-4EFA-AD24-060198437CA6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W9:X11" firstHeaderRow="1" firstDataRow="1" firstDataCol="1"/>
  <pivotFields count="8">
    <pivotField showAll="0"/>
    <pivotField showAll="0"/>
    <pivotField showAll="0"/>
    <pivotField showAll="0"/>
    <pivotField showAll="0"/>
    <pivotField numFmtId="44" showAll="0"/>
    <pivotField dataField="1" numFmtId="44" showAll="0"/>
    <pivotField axis="axisRow" showAll="0">
      <items count="5">
        <item x="0"/>
        <item h="1" x="2"/>
        <item h="1" x="1"/>
        <item h="1" x="3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Soma de valor_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6CEAE-8BD2-416E-A326-F9C8FFDDD4D1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J22:K23" firstHeaderRow="0" firstDataRow="1" firstDataCol="0"/>
  <pivotFields count="8">
    <pivotField dataField="1" showAll="0"/>
    <pivotField showAll="0"/>
    <pivotField showAll="0"/>
    <pivotField showAll="0">
      <items count="5">
        <item h="1" x="3"/>
        <item h="1" x="0"/>
        <item h="1" x="2"/>
        <item x="1"/>
        <item t="default"/>
      </items>
    </pivotField>
    <pivotField showAll="0"/>
    <pivotField numFmtId="44" showAll="0"/>
    <pivotField dataField="1" numFmtId="44" showAll="0"/>
    <pivotField showAll="0">
      <items count="5">
        <item x="0"/>
        <item h="1" x="2"/>
        <item h="1" x="1"/>
        <item h="1"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pedido_id" fld="0" baseField="0" baseItem="0"/>
    <dataField name="Contagem de valor_total" fld="6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0941A-4ED5-4FCC-85B4-3D3D5E05F58F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J10:K15" firstHeaderRow="1" firstDataRow="1" firstDataCol="1"/>
  <pivotFields count="8">
    <pivotField showAll="0"/>
    <pivotField showAll="0"/>
    <pivotField showAll="0">
      <items count="11">
        <item x="2"/>
        <item x="4"/>
        <item x="9"/>
        <item x="8"/>
        <item x="1"/>
        <item x="0"/>
        <item x="3"/>
        <item x="5"/>
        <item x="7"/>
        <item x="6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numFmtId="44" showAll="0"/>
    <pivotField dataField="1" numFmtId="44" showAll="0"/>
    <pivotField showAll="0">
      <items count="5">
        <item x="0"/>
        <item h="1" x="2"/>
        <item h="1" x="1"/>
        <item h="1"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_total" fld="6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ao" xr10:uid="{CF13B4E4-6FCF-4110-8345-058364CEBC33}" sourceName="regiao">
  <pivotTables>
    <pivotTable tabId="4" name="Tabela dinâmica1"/>
    <pivotTable tabId="4" name="Tabela dinâmica11"/>
    <pivotTable tabId="4" name="Tabela dinâmica12"/>
    <pivotTable tabId="4" name="Tabela dinâmica13"/>
    <pivotTable tabId="4" name="Tabela dinâmica15"/>
    <pivotTable tabId="4" name="Tabela dinâmica3"/>
  </pivotTables>
  <data>
    <tabular pivotCacheId="495302682">
      <items count="4">
        <i x="0" s="1"/>
        <i x="2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ao" xr10:uid="{18C0250F-84A7-4D9E-B14F-72E78EEF954C}" cache="SegmentaçãodeDados_regiao" caption="regia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ao 1" xr10:uid="{500D4891-680F-48AD-80BF-B1FCBBFAF073}" cache="SegmentaçãodeDados_regiao" caption="regia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C41C4-826A-46E7-9D49-89E2DAF523F6}" name="Tabela1" displayName="Tabela1" ref="A1:H302" totalsRowCount="1" headerRowDxfId="9" headerRowBorderDxfId="8" tableBorderDxfId="7">
  <autoFilter ref="A1:H301" xr:uid="{E81C41C4-826A-46E7-9D49-89E2DAF523F6}"/>
  <sortState xmlns:xlrd2="http://schemas.microsoft.com/office/spreadsheetml/2017/richdata2" ref="A2:H301">
    <sortCondition descending="1" ref="G2:G301"/>
  </sortState>
  <tableColumns count="8">
    <tableColumn id="1" xr3:uid="{9C64B1AA-D21C-4873-946E-17D1FCBB0754}" name="pedido_id" totalsRowLabel="Total"/>
    <tableColumn id="2" xr3:uid="{8C475DB9-8071-4B4C-AFE9-54A9B8D91C71}" name="data"/>
    <tableColumn id="3" xr3:uid="{33163EFD-CE88-4327-897B-29F438BBD1E1}" name="produto"/>
    <tableColumn id="4" xr3:uid="{E9B3C55C-D8D7-4546-A165-DB078259DD10}" name="categoria"/>
    <tableColumn id="5" xr3:uid="{B25FFECE-AEA7-4693-B78D-B51CD6AC98A7}" name="quantidade"/>
    <tableColumn id="6" xr3:uid="{171DF5ED-2ADB-4A4B-AA14-44A2CC0A4EA5}" name="preco_unitario" totalsRowFunction="custom" dataDxfId="6" totalsRowDxfId="5" dataCellStyle="Moeda">
      <totalsRowFormula>SUM(Tabela1[preco_unitario])</totalsRowFormula>
    </tableColumn>
    <tableColumn id="7" xr3:uid="{F66A5025-C6E8-49B8-A88E-45DC468B6959}" name="valor_total" totalsRowFunction="custom" dataDxfId="4" totalsRowDxfId="3" dataCellStyle="Moeda">
      <totalsRowFormula>SUM(Tabela1[valor_total])</totalsRowFormula>
    </tableColumn>
    <tableColumn id="8" xr3:uid="{53389AEA-E982-468C-B05E-C4B888A7EF11}" name="regiao" totalsRowFunction="cou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workbookViewId="0">
      <selection activeCell="T4" sqref="T4"/>
    </sheetView>
  </sheetViews>
  <sheetFormatPr defaultRowHeight="15"/>
  <cols>
    <col min="1" max="1" width="12.7109375" customWidth="1"/>
    <col min="2" max="2" width="16.7109375" customWidth="1"/>
    <col min="3" max="3" width="14.85546875" customWidth="1"/>
    <col min="4" max="4" width="21.42578125" customWidth="1"/>
    <col min="5" max="5" width="16.28515625" customWidth="1"/>
    <col min="6" max="6" width="16.140625" customWidth="1"/>
    <col min="7" max="7" width="22.28515625" customWidth="1"/>
    <col min="8" max="8" width="24.42578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172</v>
      </c>
      <c r="B2" t="s">
        <v>158</v>
      </c>
      <c r="C2" t="s">
        <v>20</v>
      </c>
      <c r="D2" t="s">
        <v>21</v>
      </c>
      <c r="E2">
        <v>5</v>
      </c>
      <c r="F2" s="1">
        <v>3852</v>
      </c>
      <c r="G2" s="1">
        <v>19260</v>
      </c>
      <c r="H2" t="s">
        <v>22</v>
      </c>
    </row>
    <row r="3" spans="1:8">
      <c r="A3">
        <v>50</v>
      </c>
      <c r="B3" t="s">
        <v>73</v>
      </c>
      <c r="C3" t="s">
        <v>40</v>
      </c>
      <c r="D3" t="s">
        <v>32</v>
      </c>
      <c r="E3">
        <v>5</v>
      </c>
      <c r="F3" s="1">
        <v>3849</v>
      </c>
      <c r="G3" s="1">
        <v>19245</v>
      </c>
      <c r="H3" t="s">
        <v>11</v>
      </c>
    </row>
    <row r="4" spans="1:8">
      <c r="A4">
        <v>4</v>
      </c>
      <c r="B4" t="s">
        <v>17</v>
      </c>
      <c r="C4" t="s">
        <v>13</v>
      </c>
      <c r="D4" t="s">
        <v>14</v>
      </c>
      <c r="E4">
        <v>5</v>
      </c>
      <c r="F4" s="1">
        <v>3701</v>
      </c>
      <c r="G4" s="1">
        <v>18505</v>
      </c>
      <c r="H4" t="s">
        <v>18</v>
      </c>
    </row>
    <row r="5" spans="1:8">
      <c r="A5">
        <v>101</v>
      </c>
      <c r="B5" t="s">
        <v>113</v>
      </c>
      <c r="C5" t="s">
        <v>27</v>
      </c>
      <c r="D5" t="s">
        <v>10</v>
      </c>
      <c r="E5">
        <v>5</v>
      </c>
      <c r="F5" s="1">
        <v>3431</v>
      </c>
      <c r="G5" s="1">
        <v>17155</v>
      </c>
      <c r="H5" t="s">
        <v>18</v>
      </c>
    </row>
    <row r="6" spans="1:8">
      <c r="A6">
        <v>53</v>
      </c>
      <c r="B6" t="s">
        <v>76</v>
      </c>
      <c r="C6" t="s">
        <v>24</v>
      </c>
      <c r="D6" t="s">
        <v>10</v>
      </c>
      <c r="E6">
        <v>5</v>
      </c>
      <c r="F6" s="1">
        <v>3322</v>
      </c>
      <c r="G6" s="1">
        <v>16610</v>
      </c>
      <c r="H6" t="s">
        <v>18</v>
      </c>
    </row>
    <row r="7" spans="1:8">
      <c r="A7">
        <v>269</v>
      </c>
      <c r="B7" t="s">
        <v>156</v>
      </c>
      <c r="C7" t="s">
        <v>9</v>
      </c>
      <c r="D7" t="s">
        <v>10</v>
      </c>
      <c r="E7">
        <v>5</v>
      </c>
      <c r="F7" s="1">
        <v>3289</v>
      </c>
      <c r="G7" s="1">
        <v>16445</v>
      </c>
      <c r="H7" t="s">
        <v>15</v>
      </c>
    </row>
    <row r="8" spans="1:8">
      <c r="A8">
        <v>231</v>
      </c>
      <c r="B8" t="s">
        <v>80</v>
      </c>
      <c r="C8" t="s">
        <v>37</v>
      </c>
      <c r="D8" t="s">
        <v>32</v>
      </c>
      <c r="E8">
        <v>5</v>
      </c>
      <c r="F8" s="1">
        <v>3238</v>
      </c>
      <c r="G8" s="1">
        <v>16190</v>
      </c>
      <c r="H8" t="s">
        <v>11</v>
      </c>
    </row>
    <row r="9" spans="1:8">
      <c r="A9">
        <v>97</v>
      </c>
      <c r="B9" t="s">
        <v>110</v>
      </c>
      <c r="C9" t="s">
        <v>40</v>
      </c>
      <c r="D9" t="s">
        <v>32</v>
      </c>
      <c r="E9">
        <v>4</v>
      </c>
      <c r="F9" s="1">
        <v>3941</v>
      </c>
      <c r="G9" s="1">
        <v>15764</v>
      </c>
      <c r="H9" t="s">
        <v>18</v>
      </c>
    </row>
    <row r="10" spans="1:8">
      <c r="A10">
        <v>295</v>
      </c>
      <c r="B10" t="s">
        <v>124</v>
      </c>
      <c r="C10" t="s">
        <v>35</v>
      </c>
      <c r="D10" t="s">
        <v>32</v>
      </c>
      <c r="E10">
        <v>5</v>
      </c>
      <c r="F10" s="1">
        <v>3144</v>
      </c>
      <c r="G10" s="1">
        <v>15720</v>
      </c>
      <c r="H10" t="s">
        <v>18</v>
      </c>
    </row>
    <row r="11" spans="1:8">
      <c r="A11">
        <v>135</v>
      </c>
      <c r="B11" t="s">
        <v>139</v>
      </c>
      <c r="C11" t="s">
        <v>13</v>
      </c>
      <c r="D11" t="s">
        <v>14</v>
      </c>
      <c r="E11">
        <v>4</v>
      </c>
      <c r="F11" s="1">
        <v>3928</v>
      </c>
      <c r="G11" s="1">
        <v>15712</v>
      </c>
      <c r="H11" t="s">
        <v>11</v>
      </c>
    </row>
    <row r="12" spans="1:8">
      <c r="A12">
        <v>23</v>
      </c>
      <c r="B12" t="s">
        <v>46</v>
      </c>
      <c r="C12" t="s">
        <v>13</v>
      </c>
      <c r="D12" t="s">
        <v>14</v>
      </c>
      <c r="E12">
        <v>4</v>
      </c>
      <c r="F12" s="1">
        <v>3901</v>
      </c>
      <c r="G12" s="1">
        <v>15604</v>
      </c>
      <c r="H12" t="s">
        <v>15</v>
      </c>
    </row>
    <row r="13" spans="1:8">
      <c r="A13">
        <v>204</v>
      </c>
      <c r="B13" t="s">
        <v>140</v>
      </c>
      <c r="C13" t="s">
        <v>27</v>
      </c>
      <c r="D13" t="s">
        <v>10</v>
      </c>
      <c r="E13">
        <v>4</v>
      </c>
      <c r="F13" s="1">
        <v>3874</v>
      </c>
      <c r="G13" s="1">
        <v>15496</v>
      </c>
      <c r="H13" t="s">
        <v>18</v>
      </c>
    </row>
    <row r="14" spans="1:8">
      <c r="A14">
        <v>90</v>
      </c>
      <c r="B14" t="s">
        <v>105</v>
      </c>
      <c r="C14" t="s">
        <v>13</v>
      </c>
      <c r="D14" t="s">
        <v>14</v>
      </c>
      <c r="E14">
        <v>4</v>
      </c>
      <c r="F14" s="1">
        <v>3836</v>
      </c>
      <c r="G14" s="1">
        <v>15344</v>
      </c>
      <c r="H14" t="s">
        <v>22</v>
      </c>
    </row>
    <row r="15" spans="1:8">
      <c r="A15">
        <v>54</v>
      </c>
      <c r="B15" t="s">
        <v>77</v>
      </c>
      <c r="C15" t="s">
        <v>13</v>
      </c>
      <c r="D15" t="s">
        <v>14</v>
      </c>
      <c r="E15">
        <v>4</v>
      </c>
      <c r="F15" s="1">
        <v>3835</v>
      </c>
      <c r="G15" s="1">
        <v>15340</v>
      </c>
      <c r="H15" t="s">
        <v>15</v>
      </c>
    </row>
    <row r="16" spans="1:8">
      <c r="A16">
        <v>140</v>
      </c>
      <c r="B16" t="s">
        <v>88</v>
      </c>
      <c r="C16" t="s">
        <v>68</v>
      </c>
      <c r="D16" t="s">
        <v>21</v>
      </c>
      <c r="E16">
        <v>4</v>
      </c>
      <c r="F16" s="1">
        <v>3817</v>
      </c>
      <c r="G16" s="1">
        <v>15268</v>
      </c>
      <c r="H16" t="s">
        <v>18</v>
      </c>
    </row>
    <row r="17" spans="1:8">
      <c r="A17">
        <v>14</v>
      </c>
      <c r="B17" t="s">
        <v>36</v>
      </c>
      <c r="C17" t="s">
        <v>37</v>
      </c>
      <c r="D17" t="s">
        <v>32</v>
      </c>
      <c r="E17">
        <v>5</v>
      </c>
      <c r="F17" s="1">
        <v>3044</v>
      </c>
      <c r="G17" s="1">
        <v>15220</v>
      </c>
      <c r="H17" t="s">
        <v>18</v>
      </c>
    </row>
    <row r="18" spans="1:8">
      <c r="A18">
        <v>77</v>
      </c>
      <c r="B18" t="s">
        <v>38</v>
      </c>
      <c r="C18" t="s">
        <v>31</v>
      </c>
      <c r="D18" t="s">
        <v>32</v>
      </c>
      <c r="E18">
        <v>4</v>
      </c>
      <c r="F18" s="1">
        <v>3777</v>
      </c>
      <c r="G18" s="1">
        <v>15108</v>
      </c>
      <c r="H18" t="s">
        <v>18</v>
      </c>
    </row>
    <row r="19" spans="1:8">
      <c r="A19">
        <v>186</v>
      </c>
      <c r="B19" t="s">
        <v>169</v>
      </c>
      <c r="C19" t="s">
        <v>24</v>
      </c>
      <c r="D19" t="s">
        <v>10</v>
      </c>
      <c r="E19">
        <v>4</v>
      </c>
      <c r="F19" s="1">
        <v>3769</v>
      </c>
      <c r="G19" s="1">
        <v>15076</v>
      </c>
      <c r="H19" t="s">
        <v>11</v>
      </c>
    </row>
    <row r="20" spans="1:8">
      <c r="A20">
        <v>299</v>
      </c>
      <c r="B20" t="s">
        <v>185</v>
      </c>
      <c r="C20" t="s">
        <v>13</v>
      </c>
      <c r="D20" t="s">
        <v>14</v>
      </c>
      <c r="E20">
        <v>5</v>
      </c>
      <c r="F20" s="1">
        <v>3009</v>
      </c>
      <c r="G20" s="1">
        <v>15045</v>
      </c>
      <c r="H20" t="s">
        <v>11</v>
      </c>
    </row>
    <row r="21" spans="1:8">
      <c r="A21">
        <v>2</v>
      </c>
      <c r="B21" t="s">
        <v>12</v>
      </c>
      <c r="C21" t="s">
        <v>13</v>
      </c>
      <c r="D21" t="s">
        <v>14</v>
      </c>
      <c r="E21">
        <v>4</v>
      </c>
      <c r="F21" s="1">
        <v>3705</v>
      </c>
      <c r="G21" s="1">
        <v>14820</v>
      </c>
      <c r="H21" t="s">
        <v>15</v>
      </c>
    </row>
    <row r="22" spans="1:8">
      <c r="A22">
        <v>20</v>
      </c>
      <c r="B22" t="s">
        <v>43</v>
      </c>
      <c r="C22" t="s">
        <v>31</v>
      </c>
      <c r="D22" t="s">
        <v>32</v>
      </c>
      <c r="E22">
        <v>5</v>
      </c>
      <c r="F22" s="1">
        <v>2957</v>
      </c>
      <c r="G22" s="1">
        <v>14785</v>
      </c>
      <c r="H22" t="s">
        <v>15</v>
      </c>
    </row>
    <row r="23" spans="1:8">
      <c r="A23">
        <v>188</v>
      </c>
      <c r="B23" t="s">
        <v>87</v>
      </c>
      <c r="C23" t="s">
        <v>27</v>
      </c>
      <c r="D23" t="s">
        <v>10</v>
      </c>
      <c r="E23">
        <v>5</v>
      </c>
      <c r="F23" s="1">
        <v>2957</v>
      </c>
      <c r="G23" s="1">
        <v>14785</v>
      </c>
      <c r="H23" t="s">
        <v>22</v>
      </c>
    </row>
    <row r="24" spans="1:8">
      <c r="A24">
        <v>5</v>
      </c>
      <c r="B24" t="s">
        <v>19</v>
      </c>
      <c r="C24" t="s">
        <v>20</v>
      </c>
      <c r="D24" t="s">
        <v>21</v>
      </c>
      <c r="E24">
        <v>4</v>
      </c>
      <c r="F24" s="1">
        <v>3666</v>
      </c>
      <c r="G24" s="1">
        <v>14664</v>
      </c>
      <c r="H24" t="s">
        <v>22</v>
      </c>
    </row>
    <row r="25" spans="1:8">
      <c r="A25">
        <v>195</v>
      </c>
      <c r="B25" t="s">
        <v>175</v>
      </c>
      <c r="C25" t="s">
        <v>24</v>
      </c>
      <c r="D25" t="s">
        <v>10</v>
      </c>
      <c r="E25">
        <v>5</v>
      </c>
      <c r="F25" s="1">
        <v>2928</v>
      </c>
      <c r="G25" s="1">
        <v>14640</v>
      </c>
      <c r="H25" t="s">
        <v>22</v>
      </c>
    </row>
    <row r="26" spans="1:8">
      <c r="A26">
        <v>273</v>
      </c>
      <c r="B26" t="s">
        <v>213</v>
      </c>
      <c r="C26" t="s">
        <v>9</v>
      </c>
      <c r="D26" t="s">
        <v>10</v>
      </c>
      <c r="E26">
        <v>4</v>
      </c>
      <c r="F26" s="1">
        <v>3655</v>
      </c>
      <c r="G26" s="1">
        <v>14620</v>
      </c>
      <c r="H26" t="s">
        <v>22</v>
      </c>
    </row>
    <row r="27" spans="1:8">
      <c r="A27">
        <v>206</v>
      </c>
      <c r="B27" t="s">
        <v>182</v>
      </c>
      <c r="C27" t="s">
        <v>31</v>
      </c>
      <c r="D27" t="s">
        <v>32</v>
      </c>
      <c r="E27">
        <v>4</v>
      </c>
      <c r="F27" s="1">
        <v>3651</v>
      </c>
      <c r="G27" s="1">
        <v>14604</v>
      </c>
      <c r="H27" t="s">
        <v>18</v>
      </c>
    </row>
    <row r="28" spans="1:8">
      <c r="A28">
        <v>161</v>
      </c>
      <c r="B28" t="s">
        <v>154</v>
      </c>
      <c r="C28" t="s">
        <v>40</v>
      </c>
      <c r="D28" t="s">
        <v>32</v>
      </c>
      <c r="E28">
        <v>4</v>
      </c>
      <c r="F28" s="1">
        <v>3643</v>
      </c>
      <c r="G28" s="1">
        <v>14572</v>
      </c>
      <c r="H28" t="s">
        <v>22</v>
      </c>
    </row>
    <row r="29" spans="1:8">
      <c r="A29">
        <v>46</v>
      </c>
      <c r="B29" t="s">
        <v>69</v>
      </c>
      <c r="C29" t="s">
        <v>35</v>
      </c>
      <c r="D29" t="s">
        <v>32</v>
      </c>
      <c r="E29">
        <v>5</v>
      </c>
      <c r="F29" s="1">
        <v>2898</v>
      </c>
      <c r="G29" s="1">
        <v>14490</v>
      </c>
      <c r="H29" t="s">
        <v>11</v>
      </c>
    </row>
    <row r="30" spans="1:8">
      <c r="A30">
        <v>222</v>
      </c>
      <c r="B30" t="s">
        <v>138</v>
      </c>
      <c r="C30" t="s">
        <v>68</v>
      </c>
      <c r="D30" t="s">
        <v>21</v>
      </c>
      <c r="E30">
        <v>5</v>
      </c>
      <c r="F30" s="1">
        <v>2871</v>
      </c>
      <c r="G30" s="1">
        <v>14355</v>
      </c>
      <c r="H30" t="s">
        <v>22</v>
      </c>
    </row>
    <row r="31" spans="1:8">
      <c r="A31">
        <v>245</v>
      </c>
      <c r="B31" t="s">
        <v>202</v>
      </c>
      <c r="C31" t="s">
        <v>27</v>
      </c>
      <c r="D31" t="s">
        <v>10</v>
      </c>
      <c r="E31">
        <v>4</v>
      </c>
      <c r="F31" s="1">
        <v>3545</v>
      </c>
      <c r="G31" s="1">
        <v>14180</v>
      </c>
      <c r="H31" t="s">
        <v>18</v>
      </c>
    </row>
    <row r="32" spans="1:8">
      <c r="A32">
        <v>180</v>
      </c>
      <c r="B32" t="s">
        <v>165</v>
      </c>
      <c r="C32" t="s">
        <v>40</v>
      </c>
      <c r="D32" t="s">
        <v>32</v>
      </c>
      <c r="E32">
        <v>4</v>
      </c>
      <c r="F32" s="1">
        <v>3541</v>
      </c>
      <c r="G32" s="1">
        <v>14164</v>
      </c>
      <c r="H32" t="s">
        <v>15</v>
      </c>
    </row>
    <row r="33" spans="1:8">
      <c r="A33">
        <v>166</v>
      </c>
      <c r="B33" t="s">
        <v>143</v>
      </c>
      <c r="C33" t="s">
        <v>27</v>
      </c>
      <c r="D33" t="s">
        <v>10</v>
      </c>
      <c r="E33">
        <v>5</v>
      </c>
      <c r="F33" s="1">
        <v>2819</v>
      </c>
      <c r="G33" s="1">
        <v>14095</v>
      </c>
      <c r="H33" t="s">
        <v>11</v>
      </c>
    </row>
    <row r="34" spans="1:8">
      <c r="A34">
        <v>187</v>
      </c>
      <c r="B34" t="s">
        <v>170</v>
      </c>
      <c r="C34" t="s">
        <v>27</v>
      </c>
      <c r="D34" t="s">
        <v>10</v>
      </c>
      <c r="E34">
        <v>4</v>
      </c>
      <c r="F34" s="1">
        <v>3505</v>
      </c>
      <c r="G34" s="1">
        <v>14020</v>
      </c>
      <c r="H34" t="s">
        <v>22</v>
      </c>
    </row>
    <row r="35" spans="1:8">
      <c r="A35">
        <v>89</v>
      </c>
      <c r="B35" t="s">
        <v>104</v>
      </c>
      <c r="C35" t="s">
        <v>37</v>
      </c>
      <c r="D35" t="s">
        <v>32</v>
      </c>
      <c r="E35">
        <v>4</v>
      </c>
      <c r="F35" s="1">
        <v>3493</v>
      </c>
      <c r="G35" s="1">
        <v>13972</v>
      </c>
      <c r="H35" t="s">
        <v>22</v>
      </c>
    </row>
    <row r="36" spans="1:8">
      <c r="A36">
        <v>106</v>
      </c>
      <c r="B36" t="s">
        <v>117</v>
      </c>
      <c r="C36" t="s">
        <v>24</v>
      </c>
      <c r="D36" t="s">
        <v>10</v>
      </c>
      <c r="E36">
        <v>5</v>
      </c>
      <c r="F36" s="1">
        <v>2761</v>
      </c>
      <c r="G36" s="1">
        <v>13805</v>
      </c>
      <c r="H36" t="s">
        <v>15</v>
      </c>
    </row>
    <row r="37" spans="1:8">
      <c r="A37">
        <v>289</v>
      </c>
      <c r="B37" t="s">
        <v>223</v>
      </c>
      <c r="C37" t="s">
        <v>31</v>
      </c>
      <c r="D37" t="s">
        <v>32</v>
      </c>
      <c r="E37">
        <v>4</v>
      </c>
      <c r="F37" s="1">
        <v>3379</v>
      </c>
      <c r="G37" s="1">
        <v>13516</v>
      </c>
      <c r="H37" t="s">
        <v>22</v>
      </c>
    </row>
    <row r="38" spans="1:8">
      <c r="A38">
        <v>194</v>
      </c>
      <c r="B38" t="s">
        <v>174</v>
      </c>
      <c r="C38" t="s">
        <v>68</v>
      </c>
      <c r="D38" t="s">
        <v>21</v>
      </c>
      <c r="E38">
        <v>5</v>
      </c>
      <c r="F38" s="1">
        <v>2661</v>
      </c>
      <c r="G38" s="1">
        <v>13305</v>
      </c>
      <c r="H38" t="s">
        <v>15</v>
      </c>
    </row>
    <row r="39" spans="1:8">
      <c r="A39">
        <v>193</v>
      </c>
      <c r="B39" t="s">
        <v>173</v>
      </c>
      <c r="C39" t="s">
        <v>35</v>
      </c>
      <c r="D39" t="s">
        <v>32</v>
      </c>
      <c r="E39">
        <v>4</v>
      </c>
      <c r="F39" s="1">
        <v>3303</v>
      </c>
      <c r="G39" s="1">
        <v>13212</v>
      </c>
      <c r="H39" t="s">
        <v>22</v>
      </c>
    </row>
    <row r="40" spans="1:8">
      <c r="A40">
        <v>91</v>
      </c>
      <c r="B40" t="s">
        <v>62</v>
      </c>
      <c r="C40" t="s">
        <v>35</v>
      </c>
      <c r="D40" t="s">
        <v>32</v>
      </c>
      <c r="E40">
        <v>5</v>
      </c>
      <c r="F40" s="1">
        <v>2625</v>
      </c>
      <c r="G40" s="1">
        <v>13125</v>
      </c>
      <c r="H40" t="s">
        <v>18</v>
      </c>
    </row>
    <row r="41" spans="1:8">
      <c r="A41">
        <v>236</v>
      </c>
      <c r="B41" t="s">
        <v>200</v>
      </c>
      <c r="C41" t="s">
        <v>27</v>
      </c>
      <c r="D41" t="s">
        <v>10</v>
      </c>
      <c r="E41">
        <v>5</v>
      </c>
      <c r="F41" s="1">
        <v>2621</v>
      </c>
      <c r="G41" s="1">
        <v>13105</v>
      </c>
      <c r="H41" t="s">
        <v>22</v>
      </c>
    </row>
    <row r="42" spans="1:8">
      <c r="A42">
        <v>268</v>
      </c>
      <c r="B42" t="s">
        <v>56</v>
      </c>
      <c r="C42" t="s">
        <v>68</v>
      </c>
      <c r="D42" t="s">
        <v>21</v>
      </c>
      <c r="E42">
        <v>4</v>
      </c>
      <c r="F42" s="1">
        <v>3259</v>
      </c>
      <c r="G42" s="1">
        <v>13036</v>
      </c>
      <c r="H42" t="s">
        <v>11</v>
      </c>
    </row>
    <row r="43" spans="1:8">
      <c r="A43">
        <v>287</v>
      </c>
      <c r="B43" t="s">
        <v>110</v>
      </c>
      <c r="C43" t="s">
        <v>24</v>
      </c>
      <c r="D43" t="s">
        <v>10</v>
      </c>
      <c r="E43">
        <v>5</v>
      </c>
      <c r="F43" s="1">
        <v>2604</v>
      </c>
      <c r="G43" s="1">
        <v>13020</v>
      </c>
      <c r="H43" t="s">
        <v>22</v>
      </c>
    </row>
    <row r="44" spans="1:8">
      <c r="A44">
        <v>98</v>
      </c>
      <c r="B44" t="s">
        <v>91</v>
      </c>
      <c r="C44" t="s">
        <v>37</v>
      </c>
      <c r="D44" t="s">
        <v>32</v>
      </c>
      <c r="E44">
        <v>4</v>
      </c>
      <c r="F44" s="1">
        <v>3241</v>
      </c>
      <c r="G44" s="1">
        <v>12964</v>
      </c>
      <c r="H44" t="s">
        <v>18</v>
      </c>
    </row>
    <row r="45" spans="1:8">
      <c r="A45">
        <v>184</v>
      </c>
      <c r="B45" t="s">
        <v>167</v>
      </c>
      <c r="C45" t="s">
        <v>40</v>
      </c>
      <c r="D45" t="s">
        <v>32</v>
      </c>
      <c r="E45">
        <v>4</v>
      </c>
      <c r="F45" s="1">
        <v>3234</v>
      </c>
      <c r="G45" s="1">
        <v>12936</v>
      </c>
      <c r="H45" t="s">
        <v>11</v>
      </c>
    </row>
    <row r="46" spans="1:8">
      <c r="A46">
        <v>203</v>
      </c>
      <c r="B46" t="s">
        <v>181</v>
      </c>
      <c r="C46" t="s">
        <v>40</v>
      </c>
      <c r="D46" t="s">
        <v>32</v>
      </c>
      <c r="E46">
        <v>5</v>
      </c>
      <c r="F46" s="1">
        <v>2508</v>
      </c>
      <c r="G46" s="1">
        <v>12540</v>
      </c>
      <c r="H46" t="s">
        <v>22</v>
      </c>
    </row>
    <row r="47" spans="1:8">
      <c r="A47">
        <v>197</v>
      </c>
      <c r="B47" t="s">
        <v>176</v>
      </c>
      <c r="C47" t="s">
        <v>35</v>
      </c>
      <c r="D47" t="s">
        <v>32</v>
      </c>
      <c r="E47">
        <v>4</v>
      </c>
      <c r="F47" s="1">
        <v>3124</v>
      </c>
      <c r="G47" s="1">
        <v>12496</v>
      </c>
      <c r="H47" t="s">
        <v>15</v>
      </c>
    </row>
    <row r="48" spans="1:8">
      <c r="A48">
        <v>83</v>
      </c>
      <c r="B48" t="s">
        <v>98</v>
      </c>
      <c r="C48" t="s">
        <v>24</v>
      </c>
      <c r="D48" t="s">
        <v>10</v>
      </c>
      <c r="E48">
        <v>4</v>
      </c>
      <c r="F48" s="1">
        <v>3098</v>
      </c>
      <c r="G48" s="1">
        <v>12392</v>
      </c>
      <c r="H48" t="s">
        <v>22</v>
      </c>
    </row>
    <row r="49" spans="1:8">
      <c r="A49">
        <v>48</v>
      </c>
      <c r="B49" t="s">
        <v>71</v>
      </c>
      <c r="C49" t="s">
        <v>27</v>
      </c>
      <c r="D49" t="s">
        <v>10</v>
      </c>
      <c r="E49">
        <v>5</v>
      </c>
      <c r="F49" s="1">
        <v>2412</v>
      </c>
      <c r="G49" s="1">
        <v>12060</v>
      </c>
      <c r="H49" t="s">
        <v>18</v>
      </c>
    </row>
    <row r="50" spans="1:8">
      <c r="A50">
        <v>57</v>
      </c>
      <c r="B50" t="s">
        <v>41</v>
      </c>
      <c r="C50" t="s">
        <v>31</v>
      </c>
      <c r="D50" t="s">
        <v>32</v>
      </c>
      <c r="E50">
        <v>4</v>
      </c>
      <c r="F50" s="1">
        <v>3012</v>
      </c>
      <c r="G50" s="1">
        <v>12048</v>
      </c>
      <c r="H50" t="s">
        <v>15</v>
      </c>
    </row>
    <row r="51" spans="1:8">
      <c r="A51">
        <v>212</v>
      </c>
      <c r="B51" t="s">
        <v>97</v>
      </c>
      <c r="C51" t="s">
        <v>20</v>
      </c>
      <c r="D51" t="s">
        <v>21</v>
      </c>
      <c r="E51">
        <v>3</v>
      </c>
      <c r="F51" s="1">
        <v>4000</v>
      </c>
      <c r="G51" s="1">
        <v>12000</v>
      </c>
      <c r="H51" t="s">
        <v>11</v>
      </c>
    </row>
    <row r="52" spans="1:8">
      <c r="A52">
        <v>210</v>
      </c>
      <c r="B52" t="s">
        <v>184</v>
      </c>
      <c r="C52" t="s">
        <v>20</v>
      </c>
      <c r="D52" t="s">
        <v>21</v>
      </c>
      <c r="E52">
        <v>4</v>
      </c>
      <c r="F52" s="1">
        <v>2994</v>
      </c>
      <c r="G52" s="1">
        <v>11976</v>
      </c>
      <c r="H52" t="s">
        <v>22</v>
      </c>
    </row>
    <row r="53" spans="1:8">
      <c r="A53">
        <v>52</v>
      </c>
      <c r="B53" t="s">
        <v>75</v>
      </c>
      <c r="C53" t="s">
        <v>37</v>
      </c>
      <c r="D53" t="s">
        <v>32</v>
      </c>
      <c r="E53">
        <v>3</v>
      </c>
      <c r="F53" s="1">
        <v>3973</v>
      </c>
      <c r="G53" s="1">
        <v>11919</v>
      </c>
      <c r="H53" t="s">
        <v>15</v>
      </c>
    </row>
    <row r="54" spans="1:8">
      <c r="A54">
        <v>40</v>
      </c>
      <c r="B54" t="s">
        <v>62</v>
      </c>
      <c r="C54" t="s">
        <v>31</v>
      </c>
      <c r="D54" t="s">
        <v>32</v>
      </c>
      <c r="E54">
        <v>3</v>
      </c>
      <c r="F54" s="1">
        <v>3956</v>
      </c>
      <c r="G54" s="1">
        <v>11868</v>
      </c>
      <c r="H54" t="s">
        <v>18</v>
      </c>
    </row>
    <row r="55" spans="1:8">
      <c r="A55">
        <v>246</v>
      </c>
      <c r="B55" t="s">
        <v>197</v>
      </c>
      <c r="C55" t="s">
        <v>31</v>
      </c>
      <c r="D55" t="s">
        <v>32</v>
      </c>
      <c r="E55">
        <v>5</v>
      </c>
      <c r="F55" s="1">
        <v>2345</v>
      </c>
      <c r="G55" s="1">
        <v>11725</v>
      </c>
      <c r="H55" t="s">
        <v>18</v>
      </c>
    </row>
    <row r="56" spans="1:8">
      <c r="A56">
        <v>178</v>
      </c>
      <c r="B56" t="s">
        <v>163</v>
      </c>
      <c r="C56" t="s">
        <v>24</v>
      </c>
      <c r="D56" t="s">
        <v>10</v>
      </c>
      <c r="E56">
        <v>4</v>
      </c>
      <c r="F56" s="1">
        <v>2927</v>
      </c>
      <c r="G56" s="1">
        <v>11708</v>
      </c>
      <c r="H56" t="s">
        <v>18</v>
      </c>
    </row>
    <row r="57" spans="1:8">
      <c r="A57">
        <v>47</v>
      </c>
      <c r="B57" t="s">
        <v>70</v>
      </c>
      <c r="C57" t="s">
        <v>13</v>
      </c>
      <c r="D57" t="s">
        <v>14</v>
      </c>
      <c r="E57">
        <v>4</v>
      </c>
      <c r="F57" s="1">
        <v>2913</v>
      </c>
      <c r="G57" s="1">
        <v>11652</v>
      </c>
      <c r="H57" t="s">
        <v>15</v>
      </c>
    </row>
    <row r="58" spans="1:8">
      <c r="A58">
        <v>92</v>
      </c>
      <c r="B58" t="s">
        <v>106</v>
      </c>
      <c r="C58" t="s">
        <v>24</v>
      </c>
      <c r="D58" t="s">
        <v>10</v>
      </c>
      <c r="E58">
        <v>3</v>
      </c>
      <c r="F58" s="1">
        <v>3858</v>
      </c>
      <c r="G58" s="1">
        <v>11574</v>
      </c>
      <c r="H58" t="s">
        <v>22</v>
      </c>
    </row>
    <row r="59" spans="1:8">
      <c r="A59">
        <v>280</v>
      </c>
      <c r="B59" t="s">
        <v>100</v>
      </c>
      <c r="C59" t="s">
        <v>31</v>
      </c>
      <c r="D59" t="s">
        <v>32</v>
      </c>
      <c r="E59">
        <v>4</v>
      </c>
      <c r="F59" s="1">
        <v>2862</v>
      </c>
      <c r="G59" s="1">
        <v>11448</v>
      </c>
      <c r="H59" t="s">
        <v>22</v>
      </c>
    </row>
    <row r="60" spans="1:8">
      <c r="A60">
        <v>100</v>
      </c>
      <c r="B60" t="s">
        <v>112</v>
      </c>
      <c r="C60" t="s">
        <v>20</v>
      </c>
      <c r="D60" t="s">
        <v>21</v>
      </c>
      <c r="E60">
        <v>3</v>
      </c>
      <c r="F60" s="1">
        <v>3783</v>
      </c>
      <c r="G60" s="1">
        <v>11349</v>
      </c>
      <c r="H60" t="s">
        <v>15</v>
      </c>
    </row>
    <row r="61" spans="1:8">
      <c r="A61">
        <v>76</v>
      </c>
      <c r="B61" t="s">
        <v>86</v>
      </c>
      <c r="C61" t="s">
        <v>20</v>
      </c>
      <c r="D61" t="s">
        <v>21</v>
      </c>
      <c r="E61">
        <v>3</v>
      </c>
      <c r="F61" s="1">
        <v>3721</v>
      </c>
      <c r="G61" s="1">
        <v>11163</v>
      </c>
      <c r="H61" t="s">
        <v>22</v>
      </c>
    </row>
    <row r="62" spans="1:8">
      <c r="A62">
        <v>144</v>
      </c>
      <c r="B62" t="s">
        <v>111</v>
      </c>
      <c r="C62" t="s">
        <v>9</v>
      </c>
      <c r="D62" t="s">
        <v>10</v>
      </c>
      <c r="E62">
        <v>3</v>
      </c>
      <c r="F62" s="1">
        <v>3621</v>
      </c>
      <c r="G62" s="1">
        <v>10863</v>
      </c>
      <c r="H62" t="s">
        <v>18</v>
      </c>
    </row>
    <row r="63" spans="1:8">
      <c r="A63">
        <v>256</v>
      </c>
      <c r="B63" t="s">
        <v>209</v>
      </c>
      <c r="C63" t="s">
        <v>24</v>
      </c>
      <c r="D63" t="s">
        <v>10</v>
      </c>
      <c r="E63">
        <v>3</v>
      </c>
      <c r="F63" s="1">
        <v>3572</v>
      </c>
      <c r="G63" s="1">
        <v>10716</v>
      </c>
      <c r="H63" t="s">
        <v>15</v>
      </c>
    </row>
    <row r="64" spans="1:8">
      <c r="A64">
        <v>88</v>
      </c>
      <c r="B64" t="s">
        <v>103</v>
      </c>
      <c r="C64" t="s">
        <v>40</v>
      </c>
      <c r="D64" t="s">
        <v>32</v>
      </c>
      <c r="E64">
        <v>5</v>
      </c>
      <c r="F64" s="1">
        <v>2125</v>
      </c>
      <c r="G64" s="1">
        <v>10625</v>
      </c>
      <c r="H64" t="s">
        <v>11</v>
      </c>
    </row>
    <row r="65" spans="1:8">
      <c r="A65">
        <v>39</v>
      </c>
      <c r="B65" t="s">
        <v>61</v>
      </c>
      <c r="C65" t="s">
        <v>9</v>
      </c>
      <c r="D65" t="s">
        <v>10</v>
      </c>
      <c r="E65">
        <v>3</v>
      </c>
      <c r="F65" s="1">
        <v>3484</v>
      </c>
      <c r="G65" s="1">
        <v>10452</v>
      </c>
      <c r="H65" t="s">
        <v>11</v>
      </c>
    </row>
    <row r="66" spans="1:8">
      <c r="A66">
        <v>120</v>
      </c>
      <c r="B66" t="s">
        <v>63</v>
      </c>
      <c r="C66" t="s">
        <v>27</v>
      </c>
      <c r="D66" t="s">
        <v>10</v>
      </c>
      <c r="E66">
        <v>5</v>
      </c>
      <c r="F66" s="1">
        <v>2081</v>
      </c>
      <c r="G66" s="1">
        <v>10405</v>
      </c>
      <c r="H66" t="s">
        <v>18</v>
      </c>
    </row>
    <row r="67" spans="1:8">
      <c r="A67">
        <v>259</v>
      </c>
      <c r="B67" t="s">
        <v>54</v>
      </c>
      <c r="C67" t="s">
        <v>37</v>
      </c>
      <c r="D67" t="s">
        <v>32</v>
      </c>
      <c r="E67">
        <v>4</v>
      </c>
      <c r="F67" s="1">
        <v>2600</v>
      </c>
      <c r="G67" s="1">
        <v>10400</v>
      </c>
      <c r="H67" t="s">
        <v>18</v>
      </c>
    </row>
    <row r="68" spans="1:8">
      <c r="A68">
        <v>293</v>
      </c>
      <c r="B68" t="s">
        <v>225</v>
      </c>
      <c r="C68" t="s">
        <v>20</v>
      </c>
      <c r="D68" t="s">
        <v>21</v>
      </c>
      <c r="E68">
        <v>5</v>
      </c>
      <c r="F68" s="1">
        <v>2075</v>
      </c>
      <c r="G68" s="1">
        <v>10375</v>
      </c>
      <c r="H68" t="s">
        <v>18</v>
      </c>
    </row>
    <row r="69" spans="1:8">
      <c r="A69">
        <v>72</v>
      </c>
      <c r="B69" t="s">
        <v>89</v>
      </c>
      <c r="C69" t="s">
        <v>9</v>
      </c>
      <c r="D69" t="s">
        <v>10</v>
      </c>
      <c r="E69">
        <v>4</v>
      </c>
      <c r="F69" s="1">
        <v>2577</v>
      </c>
      <c r="G69" s="1">
        <v>10308</v>
      </c>
      <c r="H69" t="s">
        <v>11</v>
      </c>
    </row>
    <row r="70" spans="1:8">
      <c r="A70">
        <v>214</v>
      </c>
      <c r="B70" t="s">
        <v>186</v>
      </c>
      <c r="C70" t="s">
        <v>24</v>
      </c>
      <c r="D70" t="s">
        <v>10</v>
      </c>
      <c r="E70">
        <v>4</v>
      </c>
      <c r="F70" s="1">
        <v>2570</v>
      </c>
      <c r="G70" s="1">
        <v>10280</v>
      </c>
      <c r="H70" t="s">
        <v>18</v>
      </c>
    </row>
    <row r="71" spans="1:8">
      <c r="A71">
        <v>7</v>
      </c>
      <c r="B71" t="s">
        <v>25</v>
      </c>
      <c r="C71" t="s">
        <v>20</v>
      </c>
      <c r="D71" t="s">
        <v>21</v>
      </c>
      <c r="E71">
        <v>5</v>
      </c>
      <c r="F71" s="1">
        <v>2009</v>
      </c>
      <c r="G71" s="1">
        <v>10045</v>
      </c>
      <c r="H71" t="s">
        <v>15</v>
      </c>
    </row>
    <row r="72" spans="1:8">
      <c r="A72">
        <v>260</v>
      </c>
      <c r="B72" t="s">
        <v>211</v>
      </c>
      <c r="C72" t="s">
        <v>20</v>
      </c>
      <c r="D72" t="s">
        <v>21</v>
      </c>
      <c r="E72">
        <v>5</v>
      </c>
      <c r="F72" s="1">
        <v>1946</v>
      </c>
      <c r="G72" s="1">
        <v>9730</v>
      </c>
      <c r="H72" t="s">
        <v>22</v>
      </c>
    </row>
    <row r="73" spans="1:8">
      <c r="A73">
        <v>285</v>
      </c>
      <c r="B73" t="s">
        <v>122</v>
      </c>
      <c r="C73" t="s">
        <v>31</v>
      </c>
      <c r="D73" t="s">
        <v>32</v>
      </c>
      <c r="E73">
        <v>5</v>
      </c>
      <c r="F73" s="1">
        <v>1938</v>
      </c>
      <c r="G73" s="1">
        <v>9690</v>
      </c>
      <c r="H73" t="s">
        <v>15</v>
      </c>
    </row>
    <row r="74" spans="1:8">
      <c r="A74">
        <v>111</v>
      </c>
      <c r="B74" t="s">
        <v>121</v>
      </c>
      <c r="C74" t="s">
        <v>40</v>
      </c>
      <c r="D74" t="s">
        <v>32</v>
      </c>
      <c r="E74">
        <v>3</v>
      </c>
      <c r="F74" s="1">
        <v>3209</v>
      </c>
      <c r="G74" s="1">
        <v>9627</v>
      </c>
      <c r="H74" t="s">
        <v>15</v>
      </c>
    </row>
    <row r="75" spans="1:8">
      <c r="A75">
        <v>28</v>
      </c>
      <c r="B75" t="s">
        <v>51</v>
      </c>
      <c r="C75" t="s">
        <v>37</v>
      </c>
      <c r="D75" t="s">
        <v>32</v>
      </c>
      <c r="E75">
        <v>4</v>
      </c>
      <c r="F75" s="1">
        <v>2380</v>
      </c>
      <c r="G75" s="1">
        <v>9520</v>
      </c>
      <c r="H75" t="s">
        <v>15</v>
      </c>
    </row>
    <row r="76" spans="1:8">
      <c r="A76">
        <v>162</v>
      </c>
      <c r="B76" t="s">
        <v>107</v>
      </c>
      <c r="C76" t="s">
        <v>13</v>
      </c>
      <c r="D76" t="s">
        <v>14</v>
      </c>
      <c r="E76">
        <v>4</v>
      </c>
      <c r="F76" s="1">
        <v>2244</v>
      </c>
      <c r="G76" s="1">
        <v>8976</v>
      </c>
      <c r="H76" t="s">
        <v>11</v>
      </c>
    </row>
    <row r="77" spans="1:8">
      <c r="A77">
        <v>174</v>
      </c>
      <c r="B77" t="s">
        <v>56</v>
      </c>
      <c r="C77" t="s">
        <v>37</v>
      </c>
      <c r="D77" t="s">
        <v>32</v>
      </c>
      <c r="E77">
        <v>3</v>
      </c>
      <c r="F77" s="1">
        <v>2991</v>
      </c>
      <c r="G77" s="1">
        <v>8973</v>
      </c>
      <c r="H77" t="s">
        <v>22</v>
      </c>
    </row>
    <row r="78" spans="1:8">
      <c r="A78">
        <v>30</v>
      </c>
      <c r="B78" t="s">
        <v>53</v>
      </c>
      <c r="C78" t="s">
        <v>37</v>
      </c>
      <c r="D78" t="s">
        <v>32</v>
      </c>
      <c r="E78">
        <v>3</v>
      </c>
      <c r="F78" s="1">
        <v>2989</v>
      </c>
      <c r="G78" s="1">
        <v>8967</v>
      </c>
      <c r="H78" t="s">
        <v>18</v>
      </c>
    </row>
    <row r="79" spans="1:8">
      <c r="A79">
        <v>113</v>
      </c>
      <c r="B79" t="s">
        <v>123</v>
      </c>
      <c r="C79" t="s">
        <v>24</v>
      </c>
      <c r="D79" t="s">
        <v>10</v>
      </c>
      <c r="E79">
        <v>4</v>
      </c>
      <c r="F79" s="1">
        <v>2186</v>
      </c>
      <c r="G79" s="1">
        <v>8744</v>
      </c>
      <c r="H79" t="s">
        <v>18</v>
      </c>
    </row>
    <row r="80" spans="1:8">
      <c r="A80">
        <v>31</v>
      </c>
      <c r="B80" t="s">
        <v>54</v>
      </c>
      <c r="C80" t="s">
        <v>9</v>
      </c>
      <c r="D80" t="s">
        <v>10</v>
      </c>
      <c r="E80">
        <v>3</v>
      </c>
      <c r="F80" s="1">
        <v>2823</v>
      </c>
      <c r="G80" s="1">
        <v>8469</v>
      </c>
      <c r="H80" t="s">
        <v>22</v>
      </c>
    </row>
    <row r="81" spans="1:8">
      <c r="A81">
        <v>288</v>
      </c>
      <c r="B81" t="s">
        <v>222</v>
      </c>
      <c r="C81" t="s">
        <v>20</v>
      </c>
      <c r="D81" t="s">
        <v>21</v>
      </c>
      <c r="E81">
        <v>5</v>
      </c>
      <c r="F81" s="1">
        <v>1691</v>
      </c>
      <c r="G81" s="1">
        <v>8455</v>
      </c>
      <c r="H81" t="s">
        <v>15</v>
      </c>
    </row>
    <row r="82" spans="1:8">
      <c r="A82">
        <v>43</v>
      </c>
      <c r="B82" t="s">
        <v>65</v>
      </c>
      <c r="C82" t="s">
        <v>13</v>
      </c>
      <c r="D82" t="s">
        <v>14</v>
      </c>
      <c r="E82">
        <v>5</v>
      </c>
      <c r="F82" s="1">
        <v>1667</v>
      </c>
      <c r="G82" s="1">
        <v>8335</v>
      </c>
      <c r="H82" t="s">
        <v>15</v>
      </c>
    </row>
    <row r="83" spans="1:8">
      <c r="A83">
        <v>234</v>
      </c>
      <c r="B83" t="s">
        <v>199</v>
      </c>
      <c r="C83" t="s">
        <v>35</v>
      </c>
      <c r="D83" t="s">
        <v>32</v>
      </c>
      <c r="E83">
        <v>5</v>
      </c>
      <c r="F83" s="1">
        <v>1606</v>
      </c>
      <c r="G83" s="1">
        <v>8030</v>
      </c>
      <c r="H83" t="s">
        <v>18</v>
      </c>
    </row>
    <row r="84" spans="1:8">
      <c r="A84">
        <v>229</v>
      </c>
      <c r="B84" t="s">
        <v>197</v>
      </c>
      <c r="C84" t="s">
        <v>13</v>
      </c>
      <c r="D84" t="s">
        <v>14</v>
      </c>
      <c r="E84">
        <v>3</v>
      </c>
      <c r="F84" s="1">
        <v>2650</v>
      </c>
      <c r="G84" s="1">
        <v>7950</v>
      </c>
      <c r="H84" t="s">
        <v>15</v>
      </c>
    </row>
    <row r="85" spans="1:8">
      <c r="A85">
        <v>200</v>
      </c>
      <c r="B85" t="s">
        <v>130</v>
      </c>
      <c r="C85" t="s">
        <v>37</v>
      </c>
      <c r="D85" t="s">
        <v>32</v>
      </c>
      <c r="E85">
        <v>4</v>
      </c>
      <c r="F85" s="1">
        <v>1981</v>
      </c>
      <c r="G85" s="1">
        <v>7924</v>
      </c>
      <c r="H85" t="s">
        <v>18</v>
      </c>
    </row>
    <row r="86" spans="1:8">
      <c r="A86">
        <v>165</v>
      </c>
      <c r="B86" t="s">
        <v>142</v>
      </c>
      <c r="C86" t="s">
        <v>40</v>
      </c>
      <c r="D86" t="s">
        <v>32</v>
      </c>
      <c r="E86">
        <v>3</v>
      </c>
      <c r="F86" s="1">
        <v>2635</v>
      </c>
      <c r="G86" s="1">
        <v>7905</v>
      </c>
      <c r="H86" t="s">
        <v>11</v>
      </c>
    </row>
    <row r="87" spans="1:8">
      <c r="A87">
        <v>226</v>
      </c>
      <c r="B87" t="s">
        <v>33</v>
      </c>
      <c r="C87" t="s">
        <v>40</v>
      </c>
      <c r="D87" t="s">
        <v>32</v>
      </c>
      <c r="E87">
        <v>2</v>
      </c>
      <c r="F87" s="1">
        <v>3884</v>
      </c>
      <c r="G87" s="1">
        <v>7768</v>
      </c>
      <c r="H87" t="s">
        <v>22</v>
      </c>
    </row>
    <row r="88" spans="1:8">
      <c r="A88">
        <v>130</v>
      </c>
      <c r="B88" t="s">
        <v>114</v>
      </c>
      <c r="C88" t="s">
        <v>27</v>
      </c>
      <c r="D88" t="s">
        <v>10</v>
      </c>
      <c r="E88">
        <v>3</v>
      </c>
      <c r="F88" s="1">
        <v>2589</v>
      </c>
      <c r="G88" s="1">
        <v>7767</v>
      </c>
      <c r="H88" t="s">
        <v>22</v>
      </c>
    </row>
    <row r="89" spans="1:8">
      <c r="A89">
        <v>122</v>
      </c>
      <c r="B89" t="s">
        <v>129</v>
      </c>
      <c r="C89" t="s">
        <v>37</v>
      </c>
      <c r="D89" t="s">
        <v>32</v>
      </c>
      <c r="E89">
        <v>2</v>
      </c>
      <c r="F89" s="1">
        <v>3861</v>
      </c>
      <c r="G89" s="1">
        <v>7722</v>
      </c>
      <c r="H89" t="s">
        <v>11</v>
      </c>
    </row>
    <row r="90" spans="1:8">
      <c r="A90">
        <v>258</v>
      </c>
      <c r="B90" t="s">
        <v>210</v>
      </c>
      <c r="C90" t="s">
        <v>35</v>
      </c>
      <c r="D90" t="s">
        <v>32</v>
      </c>
      <c r="E90">
        <v>5</v>
      </c>
      <c r="F90" s="1">
        <v>1534</v>
      </c>
      <c r="G90" s="1">
        <v>7670</v>
      </c>
      <c r="H90" t="s">
        <v>22</v>
      </c>
    </row>
    <row r="91" spans="1:8">
      <c r="A91">
        <v>35</v>
      </c>
      <c r="B91" t="s">
        <v>46</v>
      </c>
      <c r="C91" t="s">
        <v>20</v>
      </c>
      <c r="D91" t="s">
        <v>21</v>
      </c>
      <c r="E91">
        <v>5</v>
      </c>
      <c r="F91" s="1">
        <v>1533</v>
      </c>
      <c r="G91" s="1">
        <v>7665</v>
      </c>
      <c r="H91" t="s">
        <v>11</v>
      </c>
    </row>
    <row r="92" spans="1:8">
      <c r="A92">
        <v>244</v>
      </c>
      <c r="B92" t="s">
        <v>197</v>
      </c>
      <c r="C92" t="s">
        <v>31</v>
      </c>
      <c r="D92" t="s">
        <v>32</v>
      </c>
      <c r="E92">
        <v>4</v>
      </c>
      <c r="F92" s="1">
        <v>1909</v>
      </c>
      <c r="G92" s="1">
        <v>7636</v>
      </c>
      <c r="H92" t="s">
        <v>18</v>
      </c>
    </row>
    <row r="93" spans="1:8">
      <c r="A93">
        <v>33</v>
      </c>
      <c r="B93" t="s">
        <v>56</v>
      </c>
      <c r="C93" t="s">
        <v>40</v>
      </c>
      <c r="D93" t="s">
        <v>32</v>
      </c>
      <c r="E93">
        <v>2</v>
      </c>
      <c r="F93" s="1">
        <v>3776</v>
      </c>
      <c r="G93" s="1">
        <v>7552</v>
      </c>
      <c r="H93" t="s">
        <v>11</v>
      </c>
    </row>
    <row r="94" spans="1:8">
      <c r="A94">
        <v>257</v>
      </c>
      <c r="B94" t="s">
        <v>189</v>
      </c>
      <c r="C94" t="s">
        <v>24</v>
      </c>
      <c r="D94" t="s">
        <v>10</v>
      </c>
      <c r="E94">
        <v>5</v>
      </c>
      <c r="F94" s="1">
        <v>1479</v>
      </c>
      <c r="G94" s="1">
        <v>7395</v>
      </c>
      <c r="H94" t="s">
        <v>11</v>
      </c>
    </row>
    <row r="95" spans="1:8">
      <c r="A95">
        <v>64</v>
      </c>
      <c r="B95" t="s">
        <v>85</v>
      </c>
      <c r="C95" t="s">
        <v>24</v>
      </c>
      <c r="D95" t="s">
        <v>10</v>
      </c>
      <c r="E95">
        <v>3</v>
      </c>
      <c r="F95" s="1">
        <v>2446</v>
      </c>
      <c r="G95" s="1">
        <v>7338</v>
      </c>
      <c r="H95" t="s">
        <v>22</v>
      </c>
    </row>
    <row r="96" spans="1:8">
      <c r="A96">
        <v>45</v>
      </c>
      <c r="B96" t="s">
        <v>67</v>
      </c>
      <c r="C96" t="s">
        <v>68</v>
      </c>
      <c r="D96" t="s">
        <v>21</v>
      </c>
      <c r="E96">
        <v>2</v>
      </c>
      <c r="F96" s="1">
        <v>3633</v>
      </c>
      <c r="G96" s="1">
        <v>7266</v>
      </c>
      <c r="H96" t="s">
        <v>15</v>
      </c>
    </row>
    <row r="97" spans="1:8">
      <c r="A97">
        <v>108</v>
      </c>
      <c r="B97" t="s">
        <v>119</v>
      </c>
      <c r="C97" t="s">
        <v>68</v>
      </c>
      <c r="D97" t="s">
        <v>21</v>
      </c>
      <c r="E97">
        <v>2</v>
      </c>
      <c r="F97" s="1">
        <v>3596</v>
      </c>
      <c r="G97" s="1">
        <v>7192</v>
      </c>
      <c r="H97" t="s">
        <v>18</v>
      </c>
    </row>
    <row r="98" spans="1:8">
      <c r="A98">
        <v>300</v>
      </c>
      <c r="B98" t="s">
        <v>229</v>
      </c>
      <c r="C98" t="s">
        <v>68</v>
      </c>
      <c r="D98" t="s">
        <v>21</v>
      </c>
      <c r="E98">
        <v>4</v>
      </c>
      <c r="F98" s="1">
        <v>1795</v>
      </c>
      <c r="G98" s="1">
        <v>7180</v>
      </c>
      <c r="H98" t="s">
        <v>18</v>
      </c>
    </row>
    <row r="99" spans="1:8">
      <c r="A99">
        <v>201</v>
      </c>
      <c r="B99" t="s">
        <v>179</v>
      </c>
      <c r="C99" t="s">
        <v>68</v>
      </c>
      <c r="D99" t="s">
        <v>21</v>
      </c>
      <c r="E99">
        <v>3</v>
      </c>
      <c r="F99" s="1">
        <v>2362</v>
      </c>
      <c r="G99" s="1">
        <v>7086</v>
      </c>
      <c r="H99" t="s">
        <v>15</v>
      </c>
    </row>
    <row r="100" spans="1:8">
      <c r="A100">
        <v>41</v>
      </c>
      <c r="B100" t="s">
        <v>63</v>
      </c>
      <c r="C100" t="s">
        <v>24</v>
      </c>
      <c r="D100" t="s">
        <v>10</v>
      </c>
      <c r="E100">
        <v>4</v>
      </c>
      <c r="F100" s="1">
        <v>1764</v>
      </c>
      <c r="G100" s="1">
        <v>7056</v>
      </c>
      <c r="H100" t="s">
        <v>22</v>
      </c>
    </row>
    <row r="101" spans="1:8">
      <c r="A101">
        <v>123</v>
      </c>
      <c r="B101" t="s">
        <v>130</v>
      </c>
      <c r="C101" t="s">
        <v>40</v>
      </c>
      <c r="D101" t="s">
        <v>32</v>
      </c>
      <c r="E101">
        <v>5</v>
      </c>
      <c r="F101" s="1">
        <v>1389</v>
      </c>
      <c r="G101" s="1">
        <v>6945</v>
      </c>
      <c r="H101" t="s">
        <v>15</v>
      </c>
    </row>
    <row r="102" spans="1:8">
      <c r="A102">
        <v>104</v>
      </c>
      <c r="B102" t="s">
        <v>115</v>
      </c>
      <c r="C102" t="s">
        <v>27</v>
      </c>
      <c r="D102" t="s">
        <v>10</v>
      </c>
      <c r="E102">
        <v>3</v>
      </c>
      <c r="F102" s="1">
        <v>2312</v>
      </c>
      <c r="G102" s="1">
        <v>6936</v>
      </c>
      <c r="H102" t="s">
        <v>18</v>
      </c>
    </row>
    <row r="103" spans="1:8">
      <c r="A103">
        <v>230</v>
      </c>
      <c r="B103" t="s">
        <v>52</v>
      </c>
      <c r="C103" t="s">
        <v>31</v>
      </c>
      <c r="D103" t="s">
        <v>32</v>
      </c>
      <c r="E103">
        <v>5</v>
      </c>
      <c r="F103" s="1">
        <v>1383</v>
      </c>
      <c r="G103" s="1">
        <v>6915</v>
      </c>
      <c r="H103" t="s">
        <v>22</v>
      </c>
    </row>
    <row r="104" spans="1:8">
      <c r="A104">
        <v>198</v>
      </c>
      <c r="B104" t="s">
        <v>177</v>
      </c>
      <c r="C104" t="s">
        <v>40</v>
      </c>
      <c r="D104" t="s">
        <v>32</v>
      </c>
      <c r="E104">
        <v>5</v>
      </c>
      <c r="F104" s="1">
        <v>1344</v>
      </c>
      <c r="G104" s="1">
        <v>6720</v>
      </c>
      <c r="H104" t="s">
        <v>11</v>
      </c>
    </row>
    <row r="105" spans="1:8">
      <c r="A105">
        <v>15</v>
      </c>
      <c r="B105" t="s">
        <v>38</v>
      </c>
      <c r="C105" t="s">
        <v>35</v>
      </c>
      <c r="D105" t="s">
        <v>32</v>
      </c>
      <c r="E105">
        <v>2</v>
      </c>
      <c r="F105" s="1">
        <v>3337</v>
      </c>
      <c r="G105" s="1">
        <v>6674</v>
      </c>
      <c r="H105" t="s">
        <v>15</v>
      </c>
    </row>
    <row r="106" spans="1:8">
      <c r="A106">
        <v>132</v>
      </c>
      <c r="B106" t="s">
        <v>137</v>
      </c>
      <c r="C106" t="s">
        <v>37</v>
      </c>
      <c r="D106" t="s">
        <v>32</v>
      </c>
      <c r="E106">
        <v>2</v>
      </c>
      <c r="F106" s="1">
        <v>3321</v>
      </c>
      <c r="G106" s="1">
        <v>6642</v>
      </c>
      <c r="H106" t="s">
        <v>22</v>
      </c>
    </row>
    <row r="107" spans="1:8">
      <c r="A107">
        <v>153</v>
      </c>
      <c r="B107" t="s">
        <v>148</v>
      </c>
      <c r="C107" t="s">
        <v>37</v>
      </c>
      <c r="D107" t="s">
        <v>32</v>
      </c>
      <c r="E107">
        <v>2</v>
      </c>
      <c r="F107" s="1">
        <v>3317</v>
      </c>
      <c r="G107" s="1">
        <v>6634</v>
      </c>
      <c r="H107" t="s">
        <v>15</v>
      </c>
    </row>
    <row r="108" spans="1:8">
      <c r="A108">
        <v>37</v>
      </c>
      <c r="B108" t="s">
        <v>59</v>
      </c>
      <c r="C108" t="s">
        <v>24</v>
      </c>
      <c r="D108" t="s">
        <v>10</v>
      </c>
      <c r="E108">
        <v>3</v>
      </c>
      <c r="F108" s="1">
        <v>2178</v>
      </c>
      <c r="G108" s="1">
        <v>6534</v>
      </c>
      <c r="H108" t="s">
        <v>22</v>
      </c>
    </row>
    <row r="109" spans="1:8">
      <c r="A109">
        <v>11</v>
      </c>
      <c r="B109" t="s">
        <v>30</v>
      </c>
      <c r="C109" t="s">
        <v>31</v>
      </c>
      <c r="D109" t="s">
        <v>32</v>
      </c>
      <c r="E109">
        <v>2</v>
      </c>
      <c r="F109" s="1">
        <v>3264</v>
      </c>
      <c r="G109" s="1">
        <v>6528</v>
      </c>
      <c r="H109" t="s">
        <v>15</v>
      </c>
    </row>
    <row r="110" spans="1:8">
      <c r="A110">
        <v>25</v>
      </c>
      <c r="B110" t="s">
        <v>48</v>
      </c>
      <c r="C110" t="s">
        <v>35</v>
      </c>
      <c r="D110" t="s">
        <v>32</v>
      </c>
      <c r="E110">
        <v>2</v>
      </c>
      <c r="F110" s="1">
        <v>3247</v>
      </c>
      <c r="G110" s="1">
        <v>6494</v>
      </c>
      <c r="H110" t="s">
        <v>22</v>
      </c>
    </row>
    <row r="111" spans="1:8">
      <c r="A111">
        <v>81</v>
      </c>
      <c r="B111" t="s">
        <v>96</v>
      </c>
      <c r="C111" t="s">
        <v>9</v>
      </c>
      <c r="D111" t="s">
        <v>10</v>
      </c>
      <c r="E111">
        <v>3</v>
      </c>
      <c r="F111" s="1">
        <v>2160</v>
      </c>
      <c r="G111" s="1">
        <v>6480</v>
      </c>
      <c r="H111" t="s">
        <v>18</v>
      </c>
    </row>
    <row r="112" spans="1:8">
      <c r="A112">
        <v>255</v>
      </c>
      <c r="B112" t="s">
        <v>208</v>
      </c>
      <c r="C112" t="s">
        <v>27</v>
      </c>
      <c r="D112" t="s">
        <v>10</v>
      </c>
      <c r="E112">
        <v>3</v>
      </c>
      <c r="F112" s="1">
        <v>2128</v>
      </c>
      <c r="G112" s="1">
        <v>6384</v>
      </c>
      <c r="H112" t="s">
        <v>15</v>
      </c>
    </row>
    <row r="113" spans="1:8">
      <c r="A113">
        <v>139</v>
      </c>
      <c r="B113" t="s">
        <v>141</v>
      </c>
      <c r="C113" t="s">
        <v>27</v>
      </c>
      <c r="D113" t="s">
        <v>10</v>
      </c>
      <c r="E113">
        <v>4</v>
      </c>
      <c r="F113" s="1">
        <v>1579</v>
      </c>
      <c r="G113" s="1">
        <v>6316</v>
      </c>
      <c r="H113" t="s">
        <v>22</v>
      </c>
    </row>
    <row r="114" spans="1:8">
      <c r="A114">
        <v>155</v>
      </c>
      <c r="B114" t="s">
        <v>61</v>
      </c>
      <c r="C114" t="s">
        <v>24</v>
      </c>
      <c r="D114" t="s">
        <v>10</v>
      </c>
      <c r="E114">
        <v>5</v>
      </c>
      <c r="F114" s="1">
        <v>1245</v>
      </c>
      <c r="G114" s="1">
        <v>6225</v>
      </c>
      <c r="H114" t="s">
        <v>15</v>
      </c>
    </row>
    <row r="115" spans="1:8">
      <c r="A115">
        <v>17</v>
      </c>
      <c r="B115" t="s">
        <v>39</v>
      </c>
      <c r="C115" t="s">
        <v>40</v>
      </c>
      <c r="D115" t="s">
        <v>32</v>
      </c>
      <c r="E115">
        <v>5</v>
      </c>
      <c r="F115" s="1">
        <v>1213</v>
      </c>
      <c r="G115" s="1">
        <v>6065</v>
      </c>
      <c r="H115" t="s">
        <v>18</v>
      </c>
    </row>
    <row r="116" spans="1:8">
      <c r="A116">
        <v>110</v>
      </c>
      <c r="B116" t="s">
        <v>120</v>
      </c>
      <c r="C116" t="s">
        <v>35</v>
      </c>
      <c r="D116" t="s">
        <v>32</v>
      </c>
      <c r="E116">
        <v>3</v>
      </c>
      <c r="F116" s="1">
        <v>1982</v>
      </c>
      <c r="G116" s="1">
        <v>5946</v>
      </c>
      <c r="H116" t="s">
        <v>18</v>
      </c>
    </row>
    <row r="117" spans="1:8">
      <c r="A117">
        <v>34</v>
      </c>
      <c r="B117" t="s">
        <v>57</v>
      </c>
      <c r="C117" t="s">
        <v>35</v>
      </c>
      <c r="D117" t="s">
        <v>32</v>
      </c>
      <c r="E117">
        <v>3</v>
      </c>
      <c r="F117" s="1">
        <v>1944</v>
      </c>
      <c r="G117" s="1">
        <v>5832</v>
      </c>
      <c r="H117" t="s">
        <v>11</v>
      </c>
    </row>
    <row r="118" spans="1:8">
      <c r="A118">
        <v>254</v>
      </c>
      <c r="B118" t="s">
        <v>207</v>
      </c>
      <c r="C118" t="s">
        <v>37</v>
      </c>
      <c r="D118" t="s">
        <v>32</v>
      </c>
      <c r="E118">
        <v>2</v>
      </c>
      <c r="F118" s="1">
        <v>2911</v>
      </c>
      <c r="G118" s="1">
        <v>5822</v>
      </c>
      <c r="H118" t="s">
        <v>15</v>
      </c>
    </row>
    <row r="119" spans="1:8">
      <c r="A119">
        <v>272</v>
      </c>
      <c r="B119" t="s">
        <v>217</v>
      </c>
      <c r="C119" t="s">
        <v>9</v>
      </c>
      <c r="D119" t="s">
        <v>10</v>
      </c>
      <c r="E119">
        <v>2</v>
      </c>
      <c r="F119" s="1">
        <v>2897</v>
      </c>
      <c r="G119" s="1">
        <v>5794</v>
      </c>
      <c r="H119" t="s">
        <v>15</v>
      </c>
    </row>
    <row r="120" spans="1:8">
      <c r="A120">
        <v>239</v>
      </c>
      <c r="B120" t="s">
        <v>76</v>
      </c>
      <c r="C120" t="s">
        <v>35</v>
      </c>
      <c r="D120" t="s">
        <v>32</v>
      </c>
      <c r="E120">
        <v>3</v>
      </c>
      <c r="F120" s="1">
        <v>1920</v>
      </c>
      <c r="G120" s="1">
        <v>5760</v>
      </c>
      <c r="H120" t="s">
        <v>11</v>
      </c>
    </row>
    <row r="121" spans="1:8">
      <c r="A121">
        <v>96</v>
      </c>
      <c r="B121" t="s">
        <v>108</v>
      </c>
      <c r="C121" t="s">
        <v>9</v>
      </c>
      <c r="D121" t="s">
        <v>10</v>
      </c>
      <c r="E121">
        <v>2</v>
      </c>
      <c r="F121" s="1">
        <v>2843</v>
      </c>
      <c r="G121" s="1">
        <v>5686</v>
      </c>
      <c r="H121" t="s">
        <v>15</v>
      </c>
    </row>
    <row r="122" spans="1:8">
      <c r="A122">
        <v>133</v>
      </c>
      <c r="B122" t="s">
        <v>138</v>
      </c>
      <c r="C122" t="s">
        <v>37</v>
      </c>
      <c r="D122" t="s">
        <v>32</v>
      </c>
      <c r="E122">
        <v>2</v>
      </c>
      <c r="F122" s="1">
        <v>2809</v>
      </c>
      <c r="G122" s="1">
        <v>5618</v>
      </c>
      <c r="H122" t="s">
        <v>22</v>
      </c>
    </row>
    <row r="123" spans="1:8">
      <c r="A123">
        <v>73</v>
      </c>
      <c r="B123" t="s">
        <v>90</v>
      </c>
      <c r="C123" t="s">
        <v>31</v>
      </c>
      <c r="D123" t="s">
        <v>32</v>
      </c>
      <c r="E123">
        <v>4</v>
      </c>
      <c r="F123" s="1">
        <v>1397</v>
      </c>
      <c r="G123" s="1">
        <v>5588</v>
      </c>
      <c r="H123" t="s">
        <v>15</v>
      </c>
    </row>
    <row r="124" spans="1:8">
      <c r="A124">
        <v>168</v>
      </c>
      <c r="B124" t="s">
        <v>147</v>
      </c>
      <c r="C124" t="s">
        <v>31</v>
      </c>
      <c r="D124" t="s">
        <v>32</v>
      </c>
      <c r="E124">
        <v>2</v>
      </c>
      <c r="F124" s="1">
        <v>2781</v>
      </c>
      <c r="G124" s="1">
        <v>5562</v>
      </c>
      <c r="H124" t="s">
        <v>22</v>
      </c>
    </row>
    <row r="125" spans="1:8">
      <c r="A125">
        <v>114</v>
      </c>
      <c r="B125" t="s">
        <v>45</v>
      </c>
      <c r="C125" t="s">
        <v>37</v>
      </c>
      <c r="D125" t="s">
        <v>32</v>
      </c>
      <c r="E125">
        <v>4</v>
      </c>
      <c r="F125" s="1">
        <v>1370</v>
      </c>
      <c r="G125" s="1">
        <v>5480</v>
      </c>
      <c r="H125" t="s">
        <v>18</v>
      </c>
    </row>
    <row r="126" spans="1:8">
      <c r="A126">
        <v>158</v>
      </c>
      <c r="B126" t="s">
        <v>151</v>
      </c>
      <c r="C126" t="s">
        <v>20</v>
      </c>
      <c r="D126" t="s">
        <v>21</v>
      </c>
      <c r="E126">
        <v>3</v>
      </c>
      <c r="F126" s="1">
        <v>1803</v>
      </c>
      <c r="G126" s="1">
        <v>5409</v>
      </c>
      <c r="H126" t="s">
        <v>11</v>
      </c>
    </row>
    <row r="127" spans="1:8">
      <c r="A127">
        <v>85</v>
      </c>
      <c r="B127" t="s">
        <v>100</v>
      </c>
      <c r="C127" t="s">
        <v>37</v>
      </c>
      <c r="D127" t="s">
        <v>32</v>
      </c>
      <c r="E127">
        <v>5</v>
      </c>
      <c r="F127" s="1">
        <v>1066</v>
      </c>
      <c r="G127" s="1">
        <v>5330</v>
      </c>
      <c r="H127" t="s">
        <v>15</v>
      </c>
    </row>
    <row r="128" spans="1:8">
      <c r="A128">
        <v>173</v>
      </c>
      <c r="B128" t="s">
        <v>159</v>
      </c>
      <c r="C128" t="s">
        <v>37</v>
      </c>
      <c r="D128" t="s">
        <v>32</v>
      </c>
      <c r="E128">
        <v>3</v>
      </c>
      <c r="F128" s="1">
        <v>1758</v>
      </c>
      <c r="G128" s="1">
        <v>5274</v>
      </c>
      <c r="H128" t="s">
        <v>22</v>
      </c>
    </row>
    <row r="129" spans="1:8">
      <c r="A129">
        <v>183</v>
      </c>
      <c r="B129" t="s">
        <v>166</v>
      </c>
      <c r="C129" t="s">
        <v>27</v>
      </c>
      <c r="D129" t="s">
        <v>10</v>
      </c>
      <c r="E129">
        <v>4</v>
      </c>
      <c r="F129" s="1">
        <v>1313</v>
      </c>
      <c r="G129" s="1">
        <v>5252</v>
      </c>
      <c r="H129" t="s">
        <v>18</v>
      </c>
    </row>
    <row r="130" spans="1:8">
      <c r="A130">
        <v>291</v>
      </c>
      <c r="B130" t="s">
        <v>219</v>
      </c>
      <c r="C130" t="s">
        <v>20</v>
      </c>
      <c r="D130" t="s">
        <v>21</v>
      </c>
      <c r="E130">
        <v>5</v>
      </c>
      <c r="F130" s="1">
        <v>1041</v>
      </c>
      <c r="G130" s="1">
        <v>5205</v>
      </c>
      <c r="H130" t="s">
        <v>15</v>
      </c>
    </row>
    <row r="131" spans="1:8">
      <c r="A131">
        <v>26</v>
      </c>
      <c r="B131" t="s">
        <v>49</v>
      </c>
      <c r="C131" t="s">
        <v>20</v>
      </c>
      <c r="D131" t="s">
        <v>21</v>
      </c>
      <c r="E131">
        <v>2</v>
      </c>
      <c r="F131" s="1">
        <v>2566</v>
      </c>
      <c r="G131" s="1">
        <v>5132</v>
      </c>
      <c r="H131" t="s">
        <v>11</v>
      </c>
    </row>
    <row r="132" spans="1:8">
      <c r="A132">
        <v>137</v>
      </c>
      <c r="B132" t="s">
        <v>82</v>
      </c>
      <c r="C132" t="s">
        <v>40</v>
      </c>
      <c r="D132" t="s">
        <v>32</v>
      </c>
      <c r="E132">
        <v>4</v>
      </c>
      <c r="F132" s="1">
        <v>1274</v>
      </c>
      <c r="G132" s="1">
        <v>5096</v>
      </c>
      <c r="H132" t="s">
        <v>22</v>
      </c>
    </row>
    <row r="133" spans="1:8">
      <c r="A133">
        <v>156</v>
      </c>
      <c r="B133" t="s">
        <v>150</v>
      </c>
      <c r="C133" t="s">
        <v>37</v>
      </c>
      <c r="D133" t="s">
        <v>32</v>
      </c>
      <c r="E133">
        <v>4</v>
      </c>
      <c r="F133" s="1">
        <v>1266</v>
      </c>
      <c r="G133" s="1">
        <v>5064</v>
      </c>
      <c r="H133" t="s">
        <v>11</v>
      </c>
    </row>
    <row r="134" spans="1:8">
      <c r="A134">
        <v>136</v>
      </c>
      <c r="B134" t="s">
        <v>140</v>
      </c>
      <c r="C134" t="s">
        <v>40</v>
      </c>
      <c r="D134" t="s">
        <v>32</v>
      </c>
      <c r="E134">
        <v>5</v>
      </c>
      <c r="F134" s="1">
        <v>1007</v>
      </c>
      <c r="G134" s="1">
        <v>5035</v>
      </c>
      <c r="H134" t="s">
        <v>11</v>
      </c>
    </row>
    <row r="135" spans="1:8">
      <c r="A135">
        <v>237</v>
      </c>
      <c r="B135" t="s">
        <v>56</v>
      </c>
      <c r="C135" t="s">
        <v>68</v>
      </c>
      <c r="D135" t="s">
        <v>21</v>
      </c>
      <c r="E135">
        <v>2</v>
      </c>
      <c r="F135" s="1">
        <v>2509</v>
      </c>
      <c r="G135" s="1">
        <v>5018</v>
      </c>
      <c r="H135" t="s">
        <v>22</v>
      </c>
    </row>
    <row r="136" spans="1:8">
      <c r="A136">
        <v>290</v>
      </c>
      <c r="B136" t="s">
        <v>224</v>
      </c>
      <c r="C136" t="s">
        <v>20</v>
      </c>
      <c r="D136" t="s">
        <v>21</v>
      </c>
      <c r="E136">
        <v>2</v>
      </c>
      <c r="F136" s="1">
        <v>2492</v>
      </c>
      <c r="G136" s="1">
        <v>4984</v>
      </c>
      <c r="H136" t="s">
        <v>15</v>
      </c>
    </row>
    <row r="137" spans="1:8">
      <c r="A137">
        <v>55</v>
      </c>
      <c r="B137" t="s">
        <v>78</v>
      </c>
      <c r="C137" t="s">
        <v>9</v>
      </c>
      <c r="D137" t="s">
        <v>10</v>
      </c>
      <c r="E137">
        <v>2</v>
      </c>
      <c r="F137" s="1">
        <v>2491</v>
      </c>
      <c r="G137" s="1">
        <v>4982</v>
      </c>
      <c r="H137" t="s">
        <v>11</v>
      </c>
    </row>
    <row r="138" spans="1:8">
      <c r="A138">
        <v>51</v>
      </c>
      <c r="B138" t="s">
        <v>74</v>
      </c>
      <c r="C138" t="s">
        <v>68</v>
      </c>
      <c r="D138" t="s">
        <v>21</v>
      </c>
      <c r="E138">
        <v>3</v>
      </c>
      <c r="F138" s="1">
        <v>1651</v>
      </c>
      <c r="G138" s="1">
        <v>4953</v>
      </c>
      <c r="H138" t="s">
        <v>15</v>
      </c>
    </row>
    <row r="139" spans="1:8">
      <c r="A139">
        <v>68</v>
      </c>
      <c r="B139" t="s">
        <v>86</v>
      </c>
      <c r="C139" t="s">
        <v>24</v>
      </c>
      <c r="D139" t="s">
        <v>10</v>
      </c>
      <c r="E139">
        <v>2</v>
      </c>
      <c r="F139" s="1">
        <v>2475</v>
      </c>
      <c r="G139" s="1">
        <v>4950</v>
      </c>
      <c r="H139" t="s">
        <v>18</v>
      </c>
    </row>
    <row r="140" spans="1:8">
      <c r="A140">
        <v>71</v>
      </c>
      <c r="B140" t="s">
        <v>70</v>
      </c>
      <c r="C140" t="s">
        <v>35</v>
      </c>
      <c r="D140" t="s">
        <v>32</v>
      </c>
      <c r="E140">
        <v>3</v>
      </c>
      <c r="F140" s="1">
        <v>1646</v>
      </c>
      <c r="G140" s="1">
        <v>4938</v>
      </c>
      <c r="H140" t="s">
        <v>11</v>
      </c>
    </row>
    <row r="141" spans="1:8">
      <c r="A141">
        <v>228</v>
      </c>
      <c r="B141" t="s">
        <v>196</v>
      </c>
      <c r="C141" t="s">
        <v>27</v>
      </c>
      <c r="D141" t="s">
        <v>10</v>
      </c>
      <c r="E141">
        <v>5</v>
      </c>
      <c r="F141" s="1">
        <v>986</v>
      </c>
      <c r="G141" s="1">
        <v>4930</v>
      </c>
      <c r="H141" t="s">
        <v>18</v>
      </c>
    </row>
    <row r="142" spans="1:8">
      <c r="A142">
        <v>181</v>
      </c>
      <c r="B142" t="s">
        <v>71</v>
      </c>
      <c r="C142" t="s">
        <v>9</v>
      </c>
      <c r="D142" t="s">
        <v>10</v>
      </c>
      <c r="E142">
        <v>4</v>
      </c>
      <c r="F142" s="1">
        <v>1214</v>
      </c>
      <c r="G142" s="1">
        <v>4856</v>
      </c>
      <c r="H142" t="s">
        <v>18</v>
      </c>
    </row>
    <row r="143" spans="1:8">
      <c r="A143">
        <v>294</v>
      </c>
      <c r="B143" t="s">
        <v>226</v>
      </c>
      <c r="C143" t="s">
        <v>13</v>
      </c>
      <c r="D143" t="s">
        <v>14</v>
      </c>
      <c r="E143">
        <v>2</v>
      </c>
      <c r="F143" s="1">
        <v>2357</v>
      </c>
      <c r="G143" s="1">
        <v>4714</v>
      </c>
      <c r="H143" t="s">
        <v>18</v>
      </c>
    </row>
    <row r="144" spans="1:8">
      <c r="A144">
        <v>121</v>
      </c>
      <c r="B144" t="s">
        <v>128</v>
      </c>
      <c r="C144" t="s">
        <v>9</v>
      </c>
      <c r="D144" t="s">
        <v>10</v>
      </c>
      <c r="E144">
        <v>5</v>
      </c>
      <c r="F144" s="1">
        <v>938</v>
      </c>
      <c r="G144" s="1">
        <v>4690</v>
      </c>
      <c r="H144" t="s">
        <v>11</v>
      </c>
    </row>
    <row r="145" spans="1:8">
      <c r="A145">
        <v>44</v>
      </c>
      <c r="B145" t="s">
        <v>66</v>
      </c>
      <c r="C145" t="s">
        <v>31</v>
      </c>
      <c r="D145" t="s">
        <v>32</v>
      </c>
      <c r="E145">
        <v>2</v>
      </c>
      <c r="F145" s="1">
        <v>2318</v>
      </c>
      <c r="G145" s="1">
        <v>4636</v>
      </c>
      <c r="H145" t="s">
        <v>11</v>
      </c>
    </row>
    <row r="146" spans="1:8">
      <c r="A146">
        <v>27</v>
      </c>
      <c r="B146" t="s">
        <v>50</v>
      </c>
      <c r="C146" t="s">
        <v>35</v>
      </c>
      <c r="D146" t="s">
        <v>32</v>
      </c>
      <c r="E146">
        <v>5</v>
      </c>
      <c r="F146" s="1">
        <v>921</v>
      </c>
      <c r="G146" s="1">
        <v>4605</v>
      </c>
      <c r="H146" t="s">
        <v>18</v>
      </c>
    </row>
    <row r="147" spans="1:8">
      <c r="A147">
        <v>124</v>
      </c>
      <c r="B147" t="s">
        <v>131</v>
      </c>
      <c r="C147" t="s">
        <v>40</v>
      </c>
      <c r="D147" t="s">
        <v>32</v>
      </c>
      <c r="E147">
        <v>3</v>
      </c>
      <c r="F147" s="1">
        <v>1518</v>
      </c>
      <c r="G147" s="1">
        <v>4554</v>
      </c>
      <c r="H147" t="s">
        <v>15</v>
      </c>
    </row>
    <row r="148" spans="1:8">
      <c r="A148">
        <v>241</v>
      </c>
      <c r="B148" t="s">
        <v>28</v>
      </c>
      <c r="C148" t="s">
        <v>13</v>
      </c>
      <c r="D148" t="s">
        <v>14</v>
      </c>
      <c r="E148">
        <v>4</v>
      </c>
      <c r="F148" s="1">
        <v>1129</v>
      </c>
      <c r="G148" s="1">
        <v>4516</v>
      </c>
      <c r="H148" t="s">
        <v>11</v>
      </c>
    </row>
    <row r="149" spans="1:8">
      <c r="A149">
        <v>117</v>
      </c>
      <c r="B149" t="s">
        <v>126</v>
      </c>
      <c r="C149" t="s">
        <v>40</v>
      </c>
      <c r="D149" t="s">
        <v>32</v>
      </c>
      <c r="E149">
        <v>2</v>
      </c>
      <c r="F149" s="1">
        <v>2166</v>
      </c>
      <c r="G149" s="1">
        <v>4332</v>
      </c>
      <c r="H149" t="s">
        <v>22</v>
      </c>
    </row>
    <row r="150" spans="1:8">
      <c r="A150">
        <v>235</v>
      </c>
      <c r="B150" t="s">
        <v>168</v>
      </c>
      <c r="C150" t="s">
        <v>9</v>
      </c>
      <c r="D150" t="s">
        <v>10</v>
      </c>
      <c r="E150">
        <v>2</v>
      </c>
      <c r="F150" s="1">
        <v>2138</v>
      </c>
      <c r="G150" s="1">
        <v>4276</v>
      </c>
      <c r="H150" t="s">
        <v>22</v>
      </c>
    </row>
    <row r="151" spans="1:8">
      <c r="A151">
        <v>262</v>
      </c>
      <c r="B151" t="s">
        <v>213</v>
      </c>
      <c r="C151" t="s">
        <v>37</v>
      </c>
      <c r="D151" t="s">
        <v>32</v>
      </c>
      <c r="E151">
        <v>4</v>
      </c>
      <c r="F151" s="1">
        <v>1060</v>
      </c>
      <c r="G151" s="1">
        <v>4240</v>
      </c>
      <c r="H151" t="s">
        <v>15</v>
      </c>
    </row>
    <row r="152" spans="1:8">
      <c r="A152">
        <v>176</v>
      </c>
      <c r="B152" t="s">
        <v>161</v>
      </c>
      <c r="C152" t="s">
        <v>13</v>
      </c>
      <c r="D152" t="s">
        <v>14</v>
      </c>
      <c r="E152">
        <v>3</v>
      </c>
      <c r="F152" s="1">
        <v>1384</v>
      </c>
      <c r="G152" s="1">
        <v>4152</v>
      </c>
      <c r="H152" t="s">
        <v>11</v>
      </c>
    </row>
    <row r="153" spans="1:8">
      <c r="A153">
        <v>284</v>
      </c>
      <c r="B153" t="s">
        <v>74</v>
      </c>
      <c r="C153" t="s">
        <v>37</v>
      </c>
      <c r="D153" t="s">
        <v>32</v>
      </c>
      <c r="E153">
        <v>2</v>
      </c>
      <c r="F153" s="1">
        <v>2063</v>
      </c>
      <c r="G153" s="1">
        <v>4126</v>
      </c>
      <c r="H153" t="s">
        <v>22</v>
      </c>
    </row>
    <row r="154" spans="1:8">
      <c r="A154">
        <v>12</v>
      </c>
      <c r="B154" t="s">
        <v>33</v>
      </c>
      <c r="C154" t="s">
        <v>24</v>
      </c>
      <c r="D154" t="s">
        <v>10</v>
      </c>
      <c r="E154">
        <v>1</v>
      </c>
      <c r="F154" s="1">
        <v>3973</v>
      </c>
      <c r="G154" s="1">
        <v>3973</v>
      </c>
      <c r="H154" t="s">
        <v>15</v>
      </c>
    </row>
    <row r="155" spans="1:8">
      <c r="A155">
        <v>13</v>
      </c>
      <c r="B155" t="s">
        <v>34</v>
      </c>
      <c r="C155" t="s">
        <v>35</v>
      </c>
      <c r="D155" t="s">
        <v>32</v>
      </c>
      <c r="E155">
        <v>3</v>
      </c>
      <c r="F155" s="1">
        <v>1316</v>
      </c>
      <c r="G155" s="1">
        <v>3948</v>
      </c>
      <c r="H155" t="s">
        <v>22</v>
      </c>
    </row>
    <row r="156" spans="1:8">
      <c r="A156">
        <v>61</v>
      </c>
      <c r="B156" t="s">
        <v>82</v>
      </c>
      <c r="C156" t="s">
        <v>9</v>
      </c>
      <c r="D156" t="s">
        <v>10</v>
      </c>
      <c r="E156">
        <v>4</v>
      </c>
      <c r="F156" s="1">
        <v>984</v>
      </c>
      <c r="G156" s="1">
        <v>3936</v>
      </c>
      <c r="H156" t="s">
        <v>18</v>
      </c>
    </row>
    <row r="157" spans="1:8">
      <c r="A157">
        <v>142</v>
      </c>
      <c r="B157" t="s">
        <v>50</v>
      </c>
      <c r="C157" t="s">
        <v>37</v>
      </c>
      <c r="D157" t="s">
        <v>32</v>
      </c>
      <c r="E157">
        <v>3</v>
      </c>
      <c r="F157" s="1">
        <v>1305</v>
      </c>
      <c r="G157" s="1">
        <v>3915</v>
      </c>
      <c r="H157" t="s">
        <v>15</v>
      </c>
    </row>
    <row r="158" spans="1:8">
      <c r="A158">
        <v>292</v>
      </c>
      <c r="B158" t="s">
        <v>103</v>
      </c>
      <c r="C158" t="s">
        <v>37</v>
      </c>
      <c r="D158" t="s">
        <v>32</v>
      </c>
      <c r="E158">
        <v>1</v>
      </c>
      <c r="F158" s="1">
        <v>3894</v>
      </c>
      <c r="G158" s="1">
        <v>3894</v>
      </c>
      <c r="H158" t="s">
        <v>15</v>
      </c>
    </row>
    <row r="159" spans="1:8">
      <c r="A159">
        <v>159</v>
      </c>
      <c r="B159" t="s">
        <v>152</v>
      </c>
      <c r="C159" t="s">
        <v>31</v>
      </c>
      <c r="D159" t="s">
        <v>32</v>
      </c>
      <c r="E159">
        <v>1</v>
      </c>
      <c r="F159" s="1">
        <v>3861</v>
      </c>
      <c r="G159" s="1">
        <v>3861</v>
      </c>
      <c r="H159" t="s">
        <v>15</v>
      </c>
    </row>
    <row r="160" spans="1:8">
      <c r="A160">
        <v>270</v>
      </c>
      <c r="B160" t="s">
        <v>215</v>
      </c>
      <c r="C160" t="s">
        <v>40</v>
      </c>
      <c r="D160" t="s">
        <v>32</v>
      </c>
      <c r="E160">
        <v>2</v>
      </c>
      <c r="F160" s="1">
        <v>1919</v>
      </c>
      <c r="G160" s="1">
        <v>3838</v>
      </c>
      <c r="H160" t="s">
        <v>22</v>
      </c>
    </row>
    <row r="161" spans="1:8">
      <c r="A161">
        <v>59</v>
      </c>
      <c r="B161" t="s">
        <v>81</v>
      </c>
      <c r="C161" t="s">
        <v>9</v>
      </c>
      <c r="D161" t="s">
        <v>10</v>
      </c>
      <c r="E161">
        <v>1</v>
      </c>
      <c r="F161" s="1">
        <v>3836</v>
      </c>
      <c r="G161" s="1">
        <v>3836</v>
      </c>
      <c r="H161" t="s">
        <v>22</v>
      </c>
    </row>
    <row r="162" spans="1:8">
      <c r="A162">
        <v>38</v>
      </c>
      <c r="B162" t="s">
        <v>60</v>
      </c>
      <c r="C162" t="s">
        <v>31</v>
      </c>
      <c r="D162" t="s">
        <v>32</v>
      </c>
      <c r="E162">
        <v>2</v>
      </c>
      <c r="F162" s="1">
        <v>1900</v>
      </c>
      <c r="G162" s="1">
        <v>3800</v>
      </c>
      <c r="H162" t="s">
        <v>22</v>
      </c>
    </row>
    <row r="163" spans="1:8">
      <c r="A163">
        <v>118</v>
      </c>
      <c r="B163" t="s">
        <v>117</v>
      </c>
      <c r="C163" t="s">
        <v>27</v>
      </c>
      <c r="D163" t="s">
        <v>10</v>
      </c>
      <c r="E163">
        <v>5</v>
      </c>
      <c r="F163" s="1">
        <v>759</v>
      </c>
      <c r="G163" s="1">
        <v>3795</v>
      </c>
      <c r="H163" t="s">
        <v>11</v>
      </c>
    </row>
    <row r="164" spans="1:8">
      <c r="A164">
        <v>56</v>
      </c>
      <c r="B164" t="s">
        <v>79</v>
      </c>
      <c r="C164" t="s">
        <v>27</v>
      </c>
      <c r="D164" t="s">
        <v>10</v>
      </c>
      <c r="E164">
        <v>2</v>
      </c>
      <c r="F164" s="1">
        <v>1877</v>
      </c>
      <c r="G164" s="1">
        <v>3754</v>
      </c>
      <c r="H164" t="s">
        <v>22</v>
      </c>
    </row>
    <row r="165" spans="1:8">
      <c r="A165">
        <v>42</v>
      </c>
      <c r="B165" t="s">
        <v>64</v>
      </c>
      <c r="C165" t="s">
        <v>40</v>
      </c>
      <c r="D165" t="s">
        <v>32</v>
      </c>
      <c r="E165">
        <v>1</v>
      </c>
      <c r="F165" s="1">
        <v>3725</v>
      </c>
      <c r="G165" s="1">
        <v>3725</v>
      </c>
      <c r="H165" t="s">
        <v>15</v>
      </c>
    </row>
    <row r="166" spans="1:8">
      <c r="A166">
        <v>243</v>
      </c>
      <c r="B166" t="s">
        <v>147</v>
      </c>
      <c r="C166" t="s">
        <v>27</v>
      </c>
      <c r="D166" t="s">
        <v>10</v>
      </c>
      <c r="E166">
        <v>1</v>
      </c>
      <c r="F166" s="1">
        <v>3703</v>
      </c>
      <c r="G166" s="1">
        <v>3703</v>
      </c>
      <c r="H166" t="s">
        <v>15</v>
      </c>
    </row>
    <row r="167" spans="1:8">
      <c r="A167">
        <v>266</v>
      </c>
      <c r="B167" t="s">
        <v>153</v>
      </c>
      <c r="C167" t="s">
        <v>40</v>
      </c>
      <c r="D167" t="s">
        <v>32</v>
      </c>
      <c r="E167">
        <v>3</v>
      </c>
      <c r="F167" s="1">
        <v>1223</v>
      </c>
      <c r="G167" s="1">
        <v>3669</v>
      </c>
      <c r="H167" t="s">
        <v>11</v>
      </c>
    </row>
    <row r="168" spans="1:8">
      <c r="A168">
        <v>169</v>
      </c>
      <c r="B168" t="s">
        <v>156</v>
      </c>
      <c r="C168" t="s">
        <v>40</v>
      </c>
      <c r="D168" t="s">
        <v>32</v>
      </c>
      <c r="E168">
        <v>1</v>
      </c>
      <c r="F168" s="1">
        <v>3654</v>
      </c>
      <c r="G168" s="1">
        <v>3654</v>
      </c>
      <c r="H168" t="s">
        <v>18</v>
      </c>
    </row>
    <row r="169" spans="1:8">
      <c r="A169">
        <v>276</v>
      </c>
      <c r="B169" t="s">
        <v>29</v>
      </c>
      <c r="C169" t="s">
        <v>68</v>
      </c>
      <c r="D169" t="s">
        <v>21</v>
      </c>
      <c r="E169">
        <v>1</v>
      </c>
      <c r="F169" s="1">
        <v>3629</v>
      </c>
      <c r="G169" s="1">
        <v>3629</v>
      </c>
      <c r="H169" t="s">
        <v>22</v>
      </c>
    </row>
    <row r="170" spans="1:8">
      <c r="A170">
        <v>220</v>
      </c>
      <c r="B170" t="s">
        <v>191</v>
      </c>
      <c r="C170" t="s">
        <v>31</v>
      </c>
      <c r="D170" t="s">
        <v>32</v>
      </c>
      <c r="E170">
        <v>1</v>
      </c>
      <c r="F170" s="1">
        <v>3603</v>
      </c>
      <c r="G170" s="1">
        <v>3603</v>
      </c>
      <c r="H170" t="s">
        <v>22</v>
      </c>
    </row>
    <row r="171" spans="1:8">
      <c r="A171">
        <v>87</v>
      </c>
      <c r="B171" t="s">
        <v>102</v>
      </c>
      <c r="C171" t="s">
        <v>35</v>
      </c>
      <c r="D171" t="s">
        <v>32</v>
      </c>
      <c r="E171">
        <v>3</v>
      </c>
      <c r="F171" s="1">
        <v>1195</v>
      </c>
      <c r="G171" s="1">
        <v>3585</v>
      </c>
      <c r="H171" t="s">
        <v>22</v>
      </c>
    </row>
    <row r="172" spans="1:8">
      <c r="A172">
        <v>69</v>
      </c>
      <c r="B172" t="s">
        <v>87</v>
      </c>
      <c r="C172" t="s">
        <v>35</v>
      </c>
      <c r="D172" t="s">
        <v>32</v>
      </c>
      <c r="E172">
        <v>2</v>
      </c>
      <c r="F172" s="1">
        <v>1791</v>
      </c>
      <c r="G172" s="1">
        <v>3582</v>
      </c>
      <c r="H172" t="s">
        <v>22</v>
      </c>
    </row>
    <row r="173" spans="1:8">
      <c r="A173">
        <v>3</v>
      </c>
      <c r="B173" t="s">
        <v>16</v>
      </c>
      <c r="C173" t="s">
        <v>9</v>
      </c>
      <c r="D173" t="s">
        <v>10</v>
      </c>
      <c r="E173">
        <v>2</v>
      </c>
      <c r="F173" s="1">
        <v>1780</v>
      </c>
      <c r="G173" s="1">
        <v>3560</v>
      </c>
      <c r="H173" t="s">
        <v>11</v>
      </c>
    </row>
    <row r="174" spans="1:8">
      <c r="A174">
        <v>109</v>
      </c>
      <c r="B174" t="s">
        <v>36</v>
      </c>
      <c r="C174" t="s">
        <v>37</v>
      </c>
      <c r="D174" t="s">
        <v>32</v>
      </c>
      <c r="E174">
        <v>1</v>
      </c>
      <c r="F174" s="1">
        <v>3551</v>
      </c>
      <c r="G174" s="1">
        <v>3551</v>
      </c>
      <c r="H174" t="s">
        <v>18</v>
      </c>
    </row>
    <row r="175" spans="1:8">
      <c r="A175">
        <v>115</v>
      </c>
      <c r="B175" t="s">
        <v>124</v>
      </c>
      <c r="C175" t="s">
        <v>37</v>
      </c>
      <c r="D175" t="s">
        <v>32</v>
      </c>
      <c r="E175">
        <v>1</v>
      </c>
      <c r="F175" s="1">
        <v>3449</v>
      </c>
      <c r="G175" s="1">
        <v>3449</v>
      </c>
      <c r="H175" t="s">
        <v>11</v>
      </c>
    </row>
    <row r="176" spans="1:8">
      <c r="A176">
        <v>65</v>
      </c>
      <c r="B176" t="s">
        <v>16</v>
      </c>
      <c r="C176" t="s">
        <v>68</v>
      </c>
      <c r="D176" t="s">
        <v>21</v>
      </c>
      <c r="E176">
        <v>1</v>
      </c>
      <c r="F176" s="1">
        <v>3436</v>
      </c>
      <c r="G176" s="1">
        <v>3436</v>
      </c>
      <c r="H176" t="s">
        <v>15</v>
      </c>
    </row>
    <row r="177" spans="1:8">
      <c r="A177">
        <v>94</v>
      </c>
      <c r="B177" t="s">
        <v>108</v>
      </c>
      <c r="C177" t="s">
        <v>9</v>
      </c>
      <c r="D177" t="s">
        <v>10</v>
      </c>
      <c r="E177">
        <v>1</v>
      </c>
      <c r="F177" s="1">
        <v>3431</v>
      </c>
      <c r="G177" s="1">
        <v>3431</v>
      </c>
      <c r="H177" t="s">
        <v>18</v>
      </c>
    </row>
    <row r="178" spans="1:8">
      <c r="A178">
        <v>199</v>
      </c>
      <c r="B178" t="s">
        <v>178</v>
      </c>
      <c r="C178" t="s">
        <v>9</v>
      </c>
      <c r="D178" t="s">
        <v>10</v>
      </c>
      <c r="E178">
        <v>2</v>
      </c>
      <c r="F178" s="1">
        <v>1709</v>
      </c>
      <c r="G178" s="1">
        <v>3418</v>
      </c>
      <c r="H178" t="s">
        <v>11</v>
      </c>
    </row>
    <row r="179" spans="1:8">
      <c r="A179">
        <v>221</v>
      </c>
      <c r="B179" t="s">
        <v>95</v>
      </c>
      <c r="C179" t="s">
        <v>68</v>
      </c>
      <c r="D179" t="s">
        <v>21</v>
      </c>
      <c r="E179">
        <v>2</v>
      </c>
      <c r="F179" s="1">
        <v>1683</v>
      </c>
      <c r="G179" s="1">
        <v>3366</v>
      </c>
      <c r="H179" t="s">
        <v>22</v>
      </c>
    </row>
    <row r="180" spans="1:8">
      <c r="A180">
        <v>170</v>
      </c>
      <c r="B180" t="s">
        <v>95</v>
      </c>
      <c r="C180" t="s">
        <v>35</v>
      </c>
      <c r="D180" t="s">
        <v>32</v>
      </c>
      <c r="E180">
        <v>2</v>
      </c>
      <c r="F180" s="1">
        <v>1666</v>
      </c>
      <c r="G180" s="1">
        <v>3332</v>
      </c>
      <c r="H180" t="s">
        <v>11</v>
      </c>
    </row>
    <row r="181" spans="1:8">
      <c r="A181">
        <v>263</v>
      </c>
      <c r="B181" t="s">
        <v>214</v>
      </c>
      <c r="C181" t="s">
        <v>9</v>
      </c>
      <c r="D181" t="s">
        <v>10</v>
      </c>
      <c r="E181">
        <v>2</v>
      </c>
      <c r="F181" s="1">
        <v>1615</v>
      </c>
      <c r="G181" s="1">
        <v>3230</v>
      </c>
      <c r="H181" t="s">
        <v>11</v>
      </c>
    </row>
    <row r="182" spans="1:8">
      <c r="A182">
        <v>9</v>
      </c>
      <c r="B182" t="s">
        <v>28</v>
      </c>
      <c r="C182" t="s">
        <v>27</v>
      </c>
      <c r="D182" t="s">
        <v>10</v>
      </c>
      <c r="E182">
        <v>3</v>
      </c>
      <c r="F182" s="1">
        <v>1076</v>
      </c>
      <c r="G182" s="1">
        <v>3228</v>
      </c>
      <c r="H182" t="s">
        <v>15</v>
      </c>
    </row>
    <row r="183" spans="1:8">
      <c r="A183">
        <v>95</v>
      </c>
      <c r="B183" t="s">
        <v>109</v>
      </c>
      <c r="C183" t="s">
        <v>35</v>
      </c>
      <c r="D183" t="s">
        <v>32</v>
      </c>
      <c r="E183">
        <v>1</v>
      </c>
      <c r="F183" s="1">
        <v>3210</v>
      </c>
      <c r="G183" s="1">
        <v>3210</v>
      </c>
      <c r="H183" t="s">
        <v>18</v>
      </c>
    </row>
    <row r="184" spans="1:8">
      <c r="A184">
        <v>149</v>
      </c>
      <c r="B184" t="s">
        <v>123</v>
      </c>
      <c r="C184" t="s">
        <v>27</v>
      </c>
      <c r="D184" t="s">
        <v>10</v>
      </c>
      <c r="E184">
        <v>1</v>
      </c>
      <c r="F184" s="1">
        <v>3210</v>
      </c>
      <c r="G184" s="1">
        <v>3210</v>
      </c>
      <c r="H184" t="s">
        <v>11</v>
      </c>
    </row>
    <row r="185" spans="1:8">
      <c r="A185">
        <v>138</v>
      </c>
      <c r="B185" t="s">
        <v>128</v>
      </c>
      <c r="C185" t="s">
        <v>24</v>
      </c>
      <c r="D185" t="s">
        <v>10</v>
      </c>
      <c r="E185">
        <v>5</v>
      </c>
      <c r="F185" s="1">
        <v>627</v>
      </c>
      <c r="G185" s="1">
        <v>3135</v>
      </c>
      <c r="H185" t="s">
        <v>15</v>
      </c>
    </row>
    <row r="186" spans="1:8">
      <c r="A186">
        <v>66</v>
      </c>
      <c r="B186" t="s">
        <v>17</v>
      </c>
      <c r="C186" t="s">
        <v>24</v>
      </c>
      <c r="D186" t="s">
        <v>10</v>
      </c>
      <c r="E186">
        <v>1</v>
      </c>
      <c r="F186" s="1">
        <v>3081</v>
      </c>
      <c r="G186" s="1">
        <v>3081</v>
      </c>
      <c r="H186" t="s">
        <v>22</v>
      </c>
    </row>
    <row r="187" spans="1:8">
      <c r="A187">
        <v>102</v>
      </c>
      <c r="B187" t="s">
        <v>43</v>
      </c>
      <c r="C187" t="s">
        <v>37</v>
      </c>
      <c r="D187" t="s">
        <v>32</v>
      </c>
      <c r="E187">
        <v>4</v>
      </c>
      <c r="F187" s="1">
        <v>761</v>
      </c>
      <c r="G187" s="1">
        <v>3044</v>
      </c>
      <c r="H187" t="s">
        <v>18</v>
      </c>
    </row>
    <row r="188" spans="1:8">
      <c r="A188">
        <v>171</v>
      </c>
      <c r="B188" t="s">
        <v>157</v>
      </c>
      <c r="C188" t="s">
        <v>27</v>
      </c>
      <c r="D188" t="s">
        <v>10</v>
      </c>
      <c r="E188">
        <v>1</v>
      </c>
      <c r="F188" s="1">
        <v>3019</v>
      </c>
      <c r="G188" s="1">
        <v>3019</v>
      </c>
      <c r="H188" t="s">
        <v>18</v>
      </c>
    </row>
    <row r="189" spans="1:8">
      <c r="A189">
        <v>148</v>
      </c>
      <c r="B189" t="s">
        <v>145</v>
      </c>
      <c r="C189" t="s">
        <v>35</v>
      </c>
      <c r="D189" t="s">
        <v>32</v>
      </c>
      <c r="E189">
        <v>1</v>
      </c>
      <c r="F189" s="1">
        <v>2989</v>
      </c>
      <c r="G189" s="1">
        <v>2989</v>
      </c>
      <c r="H189" t="s">
        <v>11</v>
      </c>
    </row>
    <row r="190" spans="1:8">
      <c r="A190">
        <v>283</v>
      </c>
      <c r="B190" t="s">
        <v>221</v>
      </c>
      <c r="C190" t="s">
        <v>68</v>
      </c>
      <c r="D190" t="s">
        <v>21</v>
      </c>
      <c r="E190">
        <v>1</v>
      </c>
      <c r="F190" s="1">
        <v>2963</v>
      </c>
      <c r="G190" s="1">
        <v>2963</v>
      </c>
      <c r="H190" t="s">
        <v>22</v>
      </c>
    </row>
    <row r="191" spans="1:8">
      <c r="A191">
        <v>157</v>
      </c>
      <c r="B191" t="s">
        <v>89</v>
      </c>
      <c r="C191" t="s">
        <v>37</v>
      </c>
      <c r="D191" t="s">
        <v>32</v>
      </c>
      <c r="E191">
        <v>1</v>
      </c>
      <c r="F191" s="1">
        <v>2962</v>
      </c>
      <c r="G191" s="1">
        <v>2962</v>
      </c>
      <c r="H191" t="s">
        <v>15</v>
      </c>
    </row>
    <row r="192" spans="1:8">
      <c r="A192">
        <v>74</v>
      </c>
      <c r="B192" t="s">
        <v>91</v>
      </c>
      <c r="C192" t="s">
        <v>27</v>
      </c>
      <c r="D192" t="s">
        <v>10</v>
      </c>
      <c r="E192">
        <v>3</v>
      </c>
      <c r="F192" s="1">
        <v>978</v>
      </c>
      <c r="G192" s="1">
        <v>2934</v>
      </c>
      <c r="H192" t="s">
        <v>18</v>
      </c>
    </row>
    <row r="193" spans="1:8">
      <c r="A193">
        <v>213</v>
      </c>
      <c r="B193" t="s">
        <v>185</v>
      </c>
      <c r="C193" t="s">
        <v>27</v>
      </c>
      <c r="D193" t="s">
        <v>10</v>
      </c>
      <c r="E193">
        <v>4</v>
      </c>
      <c r="F193" s="1">
        <v>733</v>
      </c>
      <c r="G193" s="1">
        <v>2932</v>
      </c>
      <c r="H193" t="s">
        <v>22</v>
      </c>
    </row>
    <row r="194" spans="1:8">
      <c r="A194">
        <v>78</v>
      </c>
      <c r="B194" t="s">
        <v>93</v>
      </c>
      <c r="C194" t="s">
        <v>35</v>
      </c>
      <c r="D194" t="s">
        <v>32</v>
      </c>
      <c r="E194">
        <v>3</v>
      </c>
      <c r="F194" s="1">
        <v>971</v>
      </c>
      <c r="G194" s="1">
        <v>2913</v>
      </c>
      <c r="H194" t="s">
        <v>15</v>
      </c>
    </row>
    <row r="195" spans="1:8">
      <c r="A195">
        <v>278</v>
      </c>
      <c r="B195" t="s">
        <v>152</v>
      </c>
      <c r="C195" t="s">
        <v>31</v>
      </c>
      <c r="D195" t="s">
        <v>32</v>
      </c>
      <c r="E195">
        <v>1</v>
      </c>
      <c r="F195" s="1">
        <v>2910</v>
      </c>
      <c r="G195" s="1">
        <v>2910</v>
      </c>
      <c r="H195" t="s">
        <v>22</v>
      </c>
    </row>
    <row r="196" spans="1:8">
      <c r="A196">
        <v>185</v>
      </c>
      <c r="B196" t="s">
        <v>168</v>
      </c>
      <c r="C196" t="s">
        <v>35</v>
      </c>
      <c r="D196" t="s">
        <v>32</v>
      </c>
      <c r="E196">
        <v>1</v>
      </c>
      <c r="F196" s="1">
        <v>2909</v>
      </c>
      <c r="G196" s="1">
        <v>2909</v>
      </c>
      <c r="H196" t="s">
        <v>15</v>
      </c>
    </row>
    <row r="197" spans="1:8">
      <c r="A197">
        <v>1</v>
      </c>
      <c r="B197" t="s">
        <v>8</v>
      </c>
      <c r="C197" t="s">
        <v>9</v>
      </c>
      <c r="D197" t="s">
        <v>10</v>
      </c>
      <c r="E197">
        <v>1</v>
      </c>
      <c r="F197" s="1">
        <v>2899</v>
      </c>
      <c r="G197" s="1">
        <v>2899</v>
      </c>
      <c r="H197" t="s">
        <v>11</v>
      </c>
    </row>
    <row r="198" spans="1:8">
      <c r="A198">
        <v>248</v>
      </c>
      <c r="B198" t="s">
        <v>203</v>
      </c>
      <c r="C198" t="s">
        <v>68</v>
      </c>
      <c r="D198" t="s">
        <v>21</v>
      </c>
      <c r="E198">
        <v>5</v>
      </c>
      <c r="F198" s="1">
        <v>577</v>
      </c>
      <c r="G198" s="1">
        <v>2885</v>
      </c>
      <c r="H198" t="s">
        <v>11</v>
      </c>
    </row>
    <row r="199" spans="1:8">
      <c r="A199">
        <v>154</v>
      </c>
      <c r="B199" t="s">
        <v>149</v>
      </c>
      <c r="C199" t="s">
        <v>9</v>
      </c>
      <c r="D199" t="s">
        <v>10</v>
      </c>
      <c r="E199">
        <v>5</v>
      </c>
      <c r="F199" s="1">
        <v>576</v>
      </c>
      <c r="G199" s="1">
        <v>2880</v>
      </c>
      <c r="H199" t="s">
        <v>22</v>
      </c>
    </row>
    <row r="200" spans="1:8">
      <c r="A200">
        <v>116</v>
      </c>
      <c r="B200" t="s">
        <v>125</v>
      </c>
      <c r="C200" t="s">
        <v>68</v>
      </c>
      <c r="D200" t="s">
        <v>21</v>
      </c>
      <c r="E200">
        <v>1</v>
      </c>
      <c r="F200" s="1">
        <v>2877</v>
      </c>
      <c r="G200" s="1">
        <v>2877</v>
      </c>
      <c r="H200" t="s">
        <v>11</v>
      </c>
    </row>
    <row r="201" spans="1:8">
      <c r="A201">
        <v>105</v>
      </c>
      <c r="B201" t="s">
        <v>116</v>
      </c>
      <c r="C201" t="s">
        <v>13</v>
      </c>
      <c r="D201" t="s">
        <v>14</v>
      </c>
      <c r="E201">
        <v>5</v>
      </c>
      <c r="F201" s="1">
        <v>574</v>
      </c>
      <c r="G201" s="1">
        <v>2870</v>
      </c>
      <c r="H201" t="s">
        <v>18</v>
      </c>
    </row>
    <row r="202" spans="1:8">
      <c r="A202">
        <v>112</v>
      </c>
      <c r="B202" t="s">
        <v>122</v>
      </c>
      <c r="C202" t="s">
        <v>13</v>
      </c>
      <c r="D202" t="s">
        <v>14</v>
      </c>
      <c r="E202">
        <v>3</v>
      </c>
      <c r="F202" s="1">
        <v>953</v>
      </c>
      <c r="G202" s="1">
        <v>2859</v>
      </c>
      <c r="H202" t="s">
        <v>22</v>
      </c>
    </row>
    <row r="203" spans="1:8">
      <c r="A203">
        <v>219</v>
      </c>
      <c r="B203" t="s">
        <v>71</v>
      </c>
      <c r="C203" t="s">
        <v>68</v>
      </c>
      <c r="D203" t="s">
        <v>21</v>
      </c>
      <c r="E203">
        <v>5</v>
      </c>
      <c r="F203" s="1">
        <v>570</v>
      </c>
      <c r="G203" s="1">
        <v>2850</v>
      </c>
      <c r="H203" t="s">
        <v>11</v>
      </c>
    </row>
    <row r="204" spans="1:8">
      <c r="A204">
        <v>217</v>
      </c>
      <c r="B204" t="s">
        <v>189</v>
      </c>
      <c r="C204" t="s">
        <v>20</v>
      </c>
      <c r="D204" t="s">
        <v>21</v>
      </c>
      <c r="E204">
        <v>1</v>
      </c>
      <c r="F204" s="1">
        <v>2827</v>
      </c>
      <c r="G204" s="1">
        <v>2827</v>
      </c>
      <c r="H204" t="s">
        <v>15</v>
      </c>
    </row>
    <row r="205" spans="1:8">
      <c r="A205">
        <v>232</v>
      </c>
      <c r="B205" t="s">
        <v>161</v>
      </c>
      <c r="C205" t="s">
        <v>31</v>
      </c>
      <c r="D205" t="s">
        <v>32</v>
      </c>
      <c r="E205">
        <v>1</v>
      </c>
      <c r="F205" s="1">
        <v>2717</v>
      </c>
      <c r="G205" s="1">
        <v>2717</v>
      </c>
      <c r="H205" t="s">
        <v>11</v>
      </c>
    </row>
    <row r="206" spans="1:8">
      <c r="A206">
        <v>250</v>
      </c>
      <c r="B206" t="s">
        <v>143</v>
      </c>
      <c r="C206" t="s">
        <v>9</v>
      </c>
      <c r="D206" t="s">
        <v>10</v>
      </c>
      <c r="E206">
        <v>1</v>
      </c>
      <c r="F206" s="1">
        <v>2685</v>
      </c>
      <c r="G206" s="1">
        <v>2685</v>
      </c>
      <c r="H206" t="s">
        <v>15</v>
      </c>
    </row>
    <row r="207" spans="1:8">
      <c r="A207">
        <v>208</v>
      </c>
      <c r="B207" t="s">
        <v>139</v>
      </c>
      <c r="C207" t="s">
        <v>24</v>
      </c>
      <c r="D207" t="s">
        <v>10</v>
      </c>
      <c r="E207">
        <v>1</v>
      </c>
      <c r="F207" s="1">
        <v>2666</v>
      </c>
      <c r="G207" s="1">
        <v>2666</v>
      </c>
      <c r="H207" t="s">
        <v>15</v>
      </c>
    </row>
    <row r="208" spans="1:8">
      <c r="A208">
        <v>224</v>
      </c>
      <c r="B208" t="s">
        <v>193</v>
      </c>
      <c r="C208" t="s">
        <v>13</v>
      </c>
      <c r="D208" t="s">
        <v>14</v>
      </c>
      <c r="E208">
        <v>3</v>
      </c>
      <c r="F208" s="1">
        <v>856</v>
      </c>
      <c r="G208" s="1">
        <v>2568</v>
      </c>
      <c r="H208" t="s">
        <v>15</v>
      </c>
    </row>
    <row r="209" spans="1:8">
      <c r="A209">
        <v>233</v>
      </c>
      <c r="B209" t="s">
        <v>198</v>
      </c>
      <c r="C209" t="s">
        <v>68</v>
      </c>
      <c r="D209" t="s">
        <v>21</v>
      </c>
      <c r="E209">
        <v>1</v>
      </c>
      <c r="F209" s="1">
        <v>2480</v>
      </c>
      <c r="G209" s="1">
        <v>2480</v>
      </c>
      <c r="H209" t="s">
        <v>11</v>
      </c>
    </row>
    <row r="210" spans="1:8">
      <c r="A210">
        <v>141</v>
      </c>
      <c r="B210" t="s">
        <v>119</v>
      </c>
      <c r="C210" t="s">
        <v>35</v>
      </c>
      <c r="D210" t="s">
        <v>32</v>
      </c>
      <c r="E210">
        <v>4</v>
      </c>
      <c r="F210" s="1">
        <v>615</v>
      </c>
      <c r="G210" s="1">
        <v>2460</v>
      </c>
      <c r="H210" t="s">
        <v>11</v>
      </c>
    </row>
    <row r="211" spans="1:8">
      <c r="A211">
        <v>177</v>
      </c>
      <c r="B211" t="s">
        <v>162</v>
      </c>
      <c r="C211" t="s">
        <v>68</v>
      </c>
      <c r="D211" t="s">
        <v>21</v>
      </c>
      <c r="E211">
        <v>1</v>
      </c>
      <c r="F211" s="1">
        <v>2425</v>
      </c>
      <c r="G211" s="1">
        <v>2425</v>
      </c>
      <c r="H211" t="s">
        <v>18</v>
      </c>
    </row>
    <row r="212" spans="1:8">
      <c r="A212">
        <v>267</v>
      </c>
      <c r="B212" t="s">
        <v>75</v>
      </c>
      <c r="C212" t="s">
        <v>68</v>
      </c>
      <c r="D212" t="s">
        <v>21</v>
      </c>
      <c r="E212">
        <v>1</v>
      </c>
      <c r="F212" s="1">
        <v>2419</v>
      </c>
      <c r="G212" s="1">
        <v>2419</v>
      </c>
      <c r="H212" t="s">
        <v>11</v>
      </c>
    </row>
    <row r="213" spans="1:8">
      <c r="A213">
        <v>282</v>
      </c>
      <c r="B213" t="s">
        <v>142</v>
      </c>
      <c r="C213" t="s">
        <v>9</v>
      </c>
      <c r="D213" t="s">
        <v>10</v>
      </c>
      <c r="E213">
        <v>3</v>
      </c>
      <c r="F213" s="1">
        <v>797</v>
      </c>
      <c r="G213" s="1">
        <v>2391</v>
      </c>
      <c r="H213" t="s">
        <v>11</v>
      </c>
    </row>
    <row r="214" spans="1:8">
      <c r="A214">
        <v>147</v>
      </c>
      <c r="B214" t="s">
        <v>144</v>
      </c>
      <c r="C214" t="s">
        <v>37</v>
      </c>
      <c r="D214" t="s">
        <v>32</v>
      </c>
      <c r="E214">
        <v>1</v>
      </c>
      <c r="F214" s="1">
        <v>2345</v>
      </c>
      <c r="G214" s="1">
        <v>2345</v>
      </c>
      <c r="H214" t="s">
        <v>15</v>
      </c>
    </row>
    <row r="215" spans="1:8">
      <c r="A215">
        <v>205</v>
      </c>
      <c r="B215" t="s">
        <v>94</v>
      </c>
      <c r="C215" t="s">
        <v>35</v>
      </c>
      <c r="D215" t="s">
        <v>32</v>
      </c>
      <c r="E215">
        <v>1</v>
      </c>
      <c r="F215" s="1">
        <v>2337</v>
      </c>
      <c r="G215" s="1">
        <v>2337</v>
      </c>
      <c r="H215" t="s">
        <v>11</v>
      </c>
    </row>
    <row r="216" spans="1:8">
      <c r="A216">
        <v>242</v>
      </c>
      <c r="B216" t="s">
        <v>201</v>
      </c>
      <c r="C216" t="s">
        <v>37</v>
      </c>
      <c r="D216" t="s">
        <v>32</v>
      </c>
      <c r="E216">
        <v>5</v>
      </c>
      <c r="F216" s="1">
        <v>462</v>
      </c>
      <c r="G216" s="1">
        <v>2310</v>
      </c>
      <c r="H216" t="s">
        <v>11</v>
      </c>
    </row>
    <row r="217" spans="1:8">
      <c r="A217">
        <v>275</v>
      </c>
      <c r="B217" t="s">
        <v>12</v>
      </c>
      <c r="C217" t="s">
        <v>68</v>
      </c>
      <c r="D217" t="s">
        <v>21</v>
      </c>
      <c r="E217">
        <v>2</v>
      </c>
      <c r="F217" s="1">
        <v>1155</v>
      </c>
      <c r="G217" s="1">
        <v>2310</v>
      </c>
      <c r="H217" t="s">
        <v>11</v>
      </c>
    </row>
    <row r="218" spans="1:8">
      <c r="A218">
        <v>152</v>
      </c>
      <c r="B218" t="s">
        <v>95</v>
      </c>
      <c r="C218" t="s">
        <v>27</v>
      </c>
      <c r="D218" t="s">
        <v>10</v>
      </c>
      <c r="E218">
        <v>2</v>
      </c>
      <c r="F218" s="1">
        <v>1141</v>
      </c>
      <c r="G218" s="1">
        <v>2282</v>
      </c>
      <c r="H218" t="s">
        <v>22</v>
      </c>
    </row>
    <row r="219" spans="1:8">
      <c r="A219">
        <v>264</v>
      </c>
      <c r="B219" t="s">
        <v>128</v>
      </c>
      <c r="C219" t="s">
        <v>35</v>
      </c>
      <c r="D219" t="s">
        <v>32</v>
      </c>
      <c r="E219">
        <v>4</v>
      </c>
      <c r="F219" s="1">
        <v>567</v>
      </c>
      <c r="G219" s="1">
        <v>2268</v>
      </c>
      <c r="H219" t="s">
        <v>11</v>
      </c>
    </row>
    <row r="220" spans="1:8">
      <c r="A220">
        <v>182</v>
      </c>
      <c r="B220" t="s">
        <v>152</v>
      </c>
      <c r="C220" t="s">
        <v>35</v>
      </c>
      <c r="D220" t="s">
        <v>32</v>
      </c>
      <c r="E220">
        <v>1</v>
      </c>
      <c r="F220" s="1">
        <v>2265</v>
      </c>
      <c r="G220" s="1">
        <v>2265</v>
      </c>
      <c r="H220" t="s">
        <v>15</v>
      </c>
    </row>
    <row r="221" spans="1:8">
      <c r="A221">
        <v>79</v>
      </c>
      <c r="B221" t="s">
        <v>94</v>
      </c>
      <c r="C221" t="s">
        <v>37</v>
      </c>
      <c r="D221" t="s">
        <v>32</v>
      </c>
      <c r="E221">
        <v>1</v>
      </c>
      <c r="F221" s="1">
        <v>2249</v>
      </c>
      <c r="G221" s="1">
        <v>2249</v>
      </c>
      <c r="H221" t="s">
        <v>18</v>
      </c>
    </row>
    <row r="222" spans="1:8">
      <c r="A222">
        <v>143</v>
      </c>
      <c r="B222" t="s">
        <v>103</v>
      </c>
      <c r="C222" t="s">
        <v>37</v>
      </c>
      <c r="D222" t="s">
        <v>32</v>
      </c>
      <c r="E222">
        <v>3</v>
      </c>
      <c r="F222" s="1">
        <v>742</v>
      </c>
      <c r="G222" s="1">
        <v>2226</v>
      </c>
      <c r="H222" t="s">
        <v>15</v>
      </c>
    </row>
    <row r="223" spans="1:8">
      <c r="A223">
        <v>128</v>
      </c>
      <c r="B223" t="s">
        <v>135</v>
      </c>
      <c r="C223" t="s">
        <v>40</v>
      </c>
      <c r="D223" t="s">
        <v>32</v>
      </c>
      <c r="E223">
        <v>4</v>
      </c>
      <c r="F223" s="1">
        <v>552</v>
      </c>
      <c r="G223" s="1">
        <v>2208</v>
      </c>
      <c r="H223" t="s">
        <v>18</v>
      </c>
    </row>
    <row r="224" spans="1:8">
      <c r="A224">
        <v>207</v>
      </c>
      <c r="B224" t="s">
        <v>183</v>
      </c>
      <c r="C224" t="s">
        <v>35</v>
      </c>
      <c r="D224" t="s">
        <v>32</v>
      </c>
      <c r="E224">
        <v>2</v>
      </c>
      <c r="F224" s="1">
        <v>1088</v>
      </c>
      <c r="G224" s="1">
        <v>2176</v>
      </c>
      <c r="H224" t="s">
        <v>15</v>
      </c>
    </row>
    <row r="225" spans="1:8">
      <c r="A225">
        <v>261</v>
      </c>
      <c r="B225" t="s">
        <v>212</v>
      </c>
      <c r="C225" t="s">
        <v>24</v>
      </c>
      <c r="D225" t="s">
        <v>10</v>
      </c>
      <c r="E225">
        <v>1</v>
      </c>
      <c r="F225" s="1">
        <v>2047</v>
      </c>
      <c r="G225" s="1">
        <v>2047</v>
      </c>
      <c r="H225" t="s">
        <v>18</v>
      </c>
    </row>
    <row r="226" spans="1:8">
      <c r="A226">
        <v>190</v>
      </c>
      <c r="B226" t="s">
        <v>171</v>
      </c>
      <c r="C226" t="s">
        <v>40</v>
      </c>
      <c r="D226" t="s">
        <v>32</v>
      </c>
      <c r="E226">
        <v>3</v>
      </c>
      <c r="F226" s="1">
        <v>680</v>
      </c>
      <c r="G226" s="1">
        <v>2040</v>
      </c>
      <c r="H226" t="s">
        <v>11</v>
      </c>
    </row>
    <row r="227" spans="1:8">
      <c r="A227">
        <v>218</v>
      </c>
      <c r="B227" t="s">
        <v>190</v>
      </c>
      <c r="C227" t="s">
        <v>20</v>
      </c>
      <c r="D227" t="s">
        <v>21</v>
      </c>
      <c r="E227">
        <v>3</v>
      </c>
      <c r="F227" s="1">
        <v>680</v>
      </c>
      <c r="G227" s="1">
        <v>2040</v>
      </c>
      <c r="H227" t="s">
        <v>15</v>
      </c>
    </row>
    <row r="228" spans="1:8">
      <c r="A228">
        <v>189</v>
      </c>
      <c r="B228" t="s">
        <v>151</v>
      </c>
      <c r="C228" t="s">
        <v>68</v>
      </c>
      <c r="D228" t="s">
        <v>21</v>
      </c>
      <c r="E228">
        <v>1</v>
      </c>
      <c r="F228" s="1">
        <v>1994</v>
      </c>
      <c r="G228" s="1">
        <v>1994</v>
      </c>
      <c r="H228" t="s">
        <v>15</v>
      </c>
    </row>
    <row r="229" spans="1:8">
      <c r="A229">
        <v>58</v>
      </c>
      <c r="B229" t="s">
        <v>80</v>
      </c>
      <c r="C229" t="s">
        <v>13</v>
      </c>
      <c r="D229" t="s">
        <v>14</v>
      </c>
      <c r="E229">
        <v>2</v>
      </c>
      <c r="F229" s="1">
        <v>980</v>
      </c>
      <c r="G229" s="1">
        <v>1960</v>
      </c>
      <c r="H229" t="s">
        <v>18</v>
      </c>
    </row>
    <row r="230" spans="1:8">
      <c r="A230">
        <v>227</v>
      </c>
      <c r="B230" t="s">
        <v>195</v>
      </c>
      <c r="C230" t="s">
        <v>37</v>
      </c>
      <c r="D230" t="s">
        <v>32</v>
      </c>
      <c r="E230">
        <v>1</v>
      </c>
      <c r="F230" s="1">
        <v>1955</v>
      </c>
      <c r="G230" s="1">
        <v>1955</v>
      </c>
      <c r="H230" t="s">
        <v>11</v>
      </c>
    </row>
    <row r="231" spans="1:8">
      <c r="A231">
        <v>240</v>
      </c>
      <c r="B231" t="s">
        <v>120</v>
      </c>
      <c r="C231" t="s">
        <v>24</v>
      </c>
      <c r="D231" t="s">
        <v>10</v>
      </c>
      <c r="E231">
        <v>4</v>
      </c>
      <c r="F231" s="1">
        <v>471</v>
      </c>
      <c r="G231" s="1">
        <v>1884</v>
      </c>
      <c r="H231" t="s">
        <v>22</v>
      </c>
    </row>
    <row r="232" spans="1:8">
      <c r="A232">
        <v>107</v>
      </c>
      <c r="B232" t="s">
        <v>118</v>
      </c>
      <c r="C232" t="s">
        <v>24</v>
      </c>
      <c r="D232" t="s">
        <v>10</v>
      </c>
      <c r="E232">
        <v>1</v>
      </c>
      <c r="F232" s="1">
        <v>1870</v>
      </c>
      <c r="G232" s="1">
        <v>1870</v>
      </c>
      <c r="H232" t="s">
        <v>15</v>
      </c>
    </row>
    <row r="233" spans="1:8">
      <c r="A233">
        <v>131</v>
      </c>
      <c r="B233" t="s">
        <v>136</v>
      </c>
      <c r="C233" t="s">
        <v>20</v>
      </c>
      <c r="D233" t="s">
        <v>21</v>
      </c>
      <c r="E233">
        <v>1</v>
      </c>
      <c r="F233" s="1">
        <v>1870</v>
      </c>
      <c r="G233" s="1">
        <v>1870</v>
      </c>
      <c r="H233" t="s">
        <v>15</v>
      </c>
    </row>
    <row r="234" spans="1:8">
      <c r="A234">
        <v>191</v>
      </c>
      <c r="B234" t="s">
        <v>172</v>
      </c>
      <c r="C234" t="s">
        <v>9</v>
      </c>
      <c r="D234" t="s">
        <v>10</v>
      </c>
      <c r="E234">
        <v>1</v>
      </c>
      <c r="F234" s="1">
        <v>1838</v>
      </c>
      <c r="G234" s="1">
        <v>1838</v>
      </c>
      <c r="H234" t="s">
        <v>18</v>
      </c>
    </row>
    <row r="235" spans="1:8">
      <c r="A235">
        <v>80</v>
      </c>
      <c r="B235" t="s">
        <v>95</v>
      </c>
      <c r="C235" t="s">
        <v>40</v>
      </c>
      <c r="D235" t="s">
        <v>32</v>
      </c>
      <c r="E235">
        <v>1</v>
      </c>
      <c r="F235" s="1">
        <v>1799</v>
      </c>
      <c r="G235" s="1">
        <v>1799</v>
      </c>
      <c r="H235" t="s">
        <v>15</v>
      </c>
    </row>
    <row r="236" spans="1:8">
      <c r="A236">
        <v>211</v>
      </c>
      <c r="B236" t="s">
        <v>152</v>
      </c>
      <c r="C236" t="s">
        <v>24</v>
      </c>
      <c r="D236" t="s">
        <v>10</v>
      </c>
      <c r="E236">
        <v>5</v>
      </c>
      <c r="F236" s="1">
        <v>351</v>
      </c>
      <c r="G236" s="1">
        <v>1755</v>
      </c>
      <c r="H236" t="s">
        <v>11</v>
      </c>
    </row>
    <row r="237" spans="1:8">
      <c r="A237">
        <v>216</v>
      </c>
      <c r="B237" t="s">
        <v>188</v>
      </c>
      <c r="C237" t="s">
        <v>13</v>
      </c>
      <c r="D237" t="s">
        <v>14</v>
      </c>
      <c r="E237">
        <v>1</v>
      </c>
      <c r="F237" s="1">
        <v>1730</v>
      </c>
      <c r="G237" s="1">
        <v>1730</v>
      </c>
      <c r="H237" t="s">
        <v>11</v>
      </c>
    </row>
    <row r="238" spans="1:8">
      <c r="A238">
        <v>8</v>
      </c>
      <c r="B238" t="s">
        <v>26</v>
      </c>
      <c r="C238" t="s">
        <v>27</v>
      </c>
      <c r="D238" t="s">
        <v>10</v>
      </c>
      <c r="E238">
        <v>2</v>
      </c>
      <c r="F238" s="1">
        <v>863</v>
      </c>
      <c r="G238" s="1">
        <v>1726</v>
      </c>
      <c r="H238" t="s">
        <v>15</v>
      </c>
    </row>
    <row r="239" spans="1:8">
      <c r="A239">
        <v>24</v>
      </c>
      <c r="B239" t="s">
        <v>47</v>
      </c>
      <c r="C239" t="s">
        <v>24</v>
      </c>
      <c r="D239" t="s">
        <v>10</v>
      </c>
      <c r="E239">
        <v>1</v>
      </c>
      <c r="F239" s="1">
        <v>1712</v>
      </c>
      <c r="G239" s="1">
        <v>1712</v>
      </c>
      <c r="H239" t="s">
        <v>11</v>
      </c>
    </row>
    <row r="240" spans="1:8">
      <c r="A240">
        <v>29</v>
      </c>
      <c r="B240" t="s">
        <v>52</v>
      </c>
      <c r="C240" t="s">
        <v>35</v>
      </c>
      <c r="D240" t="s">
        <v>32</v>
      </c>
      <c r="E240">
        <v>1</v>
      </c>
      <c r="F240" s="1">
        <v>1633</v>
      </c>
      <c r="G240" s="1">
        <v>1633</v>
      </c>
      <c r="H240" t="s">
        <v>15</v>
      </c>
    </row>
    <row r="241" spans="1:8">
      <c r="A241">
        <v>70</v>
      </c>
      <c r="B241" t="s">
        <v>88</v>
      </c>
      <c r="C241" t="s">
        <v>68</v>
      </c>
      <c r="D241" t="s">
        <v>21</v>
      </c>
      <c r="E241">
        <v>1</v>
      </c>
      <c r="F241" s="1">
        <v>1630</v>
      </c>
      <c r="G241" s="1">
        <v>1630</v>
      </c>
      <c r="H241" t="s">
        <v>15</v>
      </c>
    </row>
    <row r="242" spans="1:8">
      <c r="A242">
        <v>167</v>
      </c>
      <c r="B242" t="s">
        <v>155</v>
      </c>
      <c r="C242" t="s">
        <v>68</v>
      </c>
      <c r="D242" t="s">
        <v>21</v>
      </c>
      <c r="E242">
        <v>1</v>
      </c>
      <c r="F242" s="1">
        <v>1626</v>
      </c>
      <c r="G242" s="1">
        <v>1626</v>
      </c>
      <c r="H242" t="s">
        <v>22</v>
      </c>
    </row>
    <row r="243" spans="1:8">
      <c r="A243">
        <v>150</v>
      </c>
      <c r="B243" t="s">
        <v>146</v>
      </c>
      <c r="C243" t="s">
        <v>24</v>
      </c>
      <c r="D243" t="s">
        <v>10</v>
      </c>
      <c r="E243">
        <v>1</v>
      </c>
      <c r="F243" s="1">
        <v>1603</v>
      </c>
      <c r="G243" s="1">
        <v>1603</v>
      </c>
      <c r="H243" t="s">
        <v>18</v>
      </c>
    </row>
    <row r="244" spans="1:8">
      <c r="A244">
        <v>99</v>
      </c>
      <c r="B244" t="s">
        <v>111</v>
      </c>
      <c r="C244" t="s">
        <v>24</v>
      </c>
      <c r="D244" t="s">
        <v>10</v>
      </c>
      <c r="E244">
        <v>2</v>
      </c>
      <c r="F244" s="1">
        <v>795</v>
      </c>
      <c r="G244" s="1">
        <v>1590</v>
      </c>
      <c r="H244" t="s">
        <v>15</v>
      </c>
    </row>
    <row r="245" spans="1:8">
      <c r="A245">
        <v>126</v>
      </c>
      <c r="B245" t="s">
        <v>133</v>
      </c>
      <c r="C245" t="s">
        <v>13</v>
      </c>
      <c r="D245" t="s">
        <v>14</v>
      </c>
      <c r="E245">
        <v>3</v>
      </c>
      <c r="F245" s="1">
        <v>525</v>
      </c>
      <c r="G245" s="1">
        <v>1575</v>
      </c>
      <c r="H245" t="s">
        <v>22</v>
      </c>
    </row>
    <row r="246" spans="1:8">
      <c r="A246">
        <v>215</v>
      </c>
      <c r="B246" t="s">
        <v>187</v>
      </c>
      <c r="C246" t="s">
        <v>20</v>
      </c>
      <c r="D246" t="s">
        <v>21</v>
      </c>
      <c r="E246">
        <v>1</v>
      </c>
      <c r="F246" s="1">
        <v>1573</v>
      </c>
      <c r="G246" s="1">
        <v>1573</v>
      </c>
      <c r="H246" t="s">
        <v>11</v>
      </c>
    </row>
    <row r="247" spans="1:8">
      <c r="A247">
        <v>16</v>
      </c>
      <c r="B247" t="s">
        <v>19</v>
      </c>
      <c r="C247" t="s">
        <v>35</v>
      </c>
      <c r="D247" t="s">
        <v>32</v>
      </c>
      <c r="E247">
        <v>3</v>
      </c>
      <c r="F247" s="1">
        <v>514</v>
      </c>
      <c r="G247" s="1">
        <v>1542</v>
      </c>
      <c r="H247" t="s">
        <v>22</v>
      </c>
    </row>
    <row r="248" spans="1:8">
      <c r="A248">
        <v>125</v>
      </c>
      <c r="B248" t="s">
        <v>132</v>
      </c>
      <c r="C248" t="s">
        <v>27</v>
      </c>
      <c r="D248" t="s">
        <v>10</v>
      </c>
      <c r="E248">
        <v>1</v>
      </c>
      <c r="F248" s="1">
        <v>1541</v>
      </c>
      <c r="G248" s="1">
        <v>1541</v>
      </c>
      <c r="H248" t="s">
        <v>11</v>
      </c>
    </row>
    <row r="249" spans="1:8">
      <c r="A249">
        <v>134</v>
      </c>
      <c r="B249" t="s">
        <v>50</v>
      </c>
      <c r="C249" t="s">
        <v>35</v>
      </c>
      <c r="D249" t="s">
        <v>32</v>
      </c>
      <c r="E249">
        <v>4</v>
      </c>
      <c r="F249" s="1">
        <v>374</v>
      </c>
      <c r="G249" s="1">
        <v>1496</v>
      </c>
      <c r="H249" t="s">
        <v>18</v>
      </c>
    </row>
    <row r="250" spans="1:8">
      <c r="A250">
        <v>36</v>
      </c>
      <c r="B250" t="s">
        <v>58</v>
      </c>
      <c r="C250" t="s">
        <v>9</v>
      </c>
      <c r="D250" t="s">
        <v>10</v>
      </c>
      <c r="E250">
        <v>1</v>
      </c>
      <c r="F250" s="1">
        <v>1384</v>
      </c>
      <c r="G250" s="1">
        <v>1384</v>
      </c>
      <c r="H250" t="s">
        <v>18</v>
      </c>
    </row>
    <row r="251" spans="1:8">
      <c r="A251">
        <v>247</v>
      </c>
      <c r="B251" t="s">
        <v>122</v>
      </c>
      <c r="C251" t="s">
        <v>35</v>
      </c>
      <c r="D251" t="s">
        <v>32</v>
      </c>
      <c r="E251">
        <v>2</v>
      </c>
      <c r="F251" s="1">
        <v>684</v>
      </c>
      <c r="G251" s="1">
        <v>1368</v>
      </c>
      <c r="H251" t="s">
        <v>11</v>
      </c>
    </row>
    <row r="252" spans="1:8">
      <c r="A252">
        <v>251</v>
      </c>
      <c r="B252" t="s">
        <v>205</v>
      </c>
      <c r="C252" t="s">
        <v>24</v>
      </c>
      <c r="D252" t="s">
        <v>10</v>
      </c>
      <c r="E252">
        <v>1</v>
      </c>
      <c r="F252" s="1">
        <v>1296</v>
      </c>
      <c r="G252" s="1">
        <v>1296</v>
      </c>
      <c r="H252" t="s">
        <v>15</v>
      </c>
    </row>
    <row r="253" spans="1:8">
      <c r="A253">
        <v>93</v>
      </c>
      <c r="B253" t="s">
        <v>107</v>
      </c>
      <c r="C253" t="s">
        <v>24</v>
      </c>
      <c r="D253" t="s">
        <v>10</v>
      </c>
      <c r="E253">
        <v>3</v>
      </c>
      <c r="F253" s="1">
        <v>425</v>
      </c>
      <c r="G253" s="1">
        <v>1275</v>
      </c>
      <c r="H253" t="s">
        <v>22</v>
      </c>
    </row>
    <row r="254" spans="1:8">
      <c r="A254">
        <v>63</v>
      </c>
      <c r="B254" t="s">
        <v>84</v>
      </c>
      <c r="C254" t="s">
        <v>37</v>
      </c>
      <c r="D254" t="s">
        <v>32</v>
      </c>
      <c r="E254">
        <v>2</v>
      </c>
      <c r="F254" s="1">
        <v>632</v>
      </c>
      <c r="G254" s="1">
        <v>1264</v>
      </c>
      <c r="H254" t="s">
        <v>18</v>
      </c>
    </row>
    <row r="255" spans="1:8">
      <c r="A255">
        <v>277</v>
      </c>
      <c r="B255" t="s">
        <v>219</v>
      </c>
      <c r="C255" t="s">
        <v>27</v>
      </c>
      <c r="D255" t="s">
        <v>10</v>
      </c>
      <c r="E255">
        <v>3</v>
      </c>
      <c r="F255" s="1">
        <v>419</v>
      </c>
      <c r="G255" s="1">
        <v>1257</v>
      </c>
      <c r="H255" t="s">
        <v>15</v>
      </c>
    </row>
    <row r="256" spans="1:8">
      <c r="A256">
        <v>60</v>
      </c>
      <c r="B256" t="s">
        <v>81</v>
      </c>
      <c r="C256" t="s">
        <v>35</v>
      </c>
      <c r="D256" t="s">
        <v>32</v>
      </c>
      <c r="E256">
        <v>1</v>
      </c>
      <c r="F256" s="1">
        <v>1222</v>
      </c>
      <c r="G256" s="1">
        <v>1222</v>
      </c>
      <c r="H256" t="s">
        <v>22</v>
      </c>
    </row>
    <row r="257" spans="1:8">
      <c r="A257">
        <v>75</v>
      </c>
      <c r="B257" t="s">
        <v>92</v>
      </c>
      <c r="C257" t="s">
        <v>68</v>
      </c>
      <c r="D257" t="s">
        <v>21</v>
      </c>
      <c r="E257">
        <v>1</v>
      </c>
      <c r="F257" s="1">
        <v>1194</v>
      </c>
      <c r="G257" s="1">
        <v>1194</v>
      </c>
      <c r="H257" t="s">
        <v>22</v>
      </c>
    </row>
    <row r="258" spans="1:8">
      <c r="A258">
        <v>145</v>
      </c>
      <c r="B258" t="s">
        <v>142</v>
      </c>
      <c r="C258" t="s">
        <v>20</v>
      </c>
      <c r="D258" t="s">
        <v>21</v>
      </c>
      <c r="E258">
        <v>1</v>
      </c>
      <c r="F258" s="1">
        <v>1187</v>
      </c>
      <c r="G258" s="1">
        <v>1187</v>
      </c>
      <c r="H258" t="s">
        <v>18</v>
      </c>
    </row>
    <row r="259" spans="1:8">
      <c r="A259">
        <v>238</v>
      </c>
      <c r="B259" t="s">
        <v>79</v>
      </c>
      <c r="C259" t="s">
        <v>27</v>
      </c>
      <c r="D259" t="s">
        <v>10</v>
      </c>
      <c r="E259">
        <v>1</v>
      </c>
      <c r="F259" s="1">
        <v>1168</v>
      </c>
      <c r="G259" s="1">
        <v>1168</v>
      </c>
      <c r="H259" t="s">
        <v>15</v>
      </c>
    </row>
    <row r="260" spans="1:8">
      <c r="A260">
        <v>146</v>
      </c>
      <c r="B260" t="s">
        <v>143</v>
      </c>
      <c r="C260" t="s">
        <v>31</v>
      </c>
      <c r="D260" t="s">
        <v>32</v>
      </c>
      <c r="E260">
        <v>1</v>
      </c>
      <c r="F260" s="1">
        <v>1151</v>
      </c>
      <c r="G260" s="1">
        <v>1151</v>
      </c>
      <c r="H260" t="s">
        <v>18</v>
      </c>
    </row>
    <row r="261" spans="1:8">
      <c r="A261">
        <v>196</v>
      </c>
      <c r="B261" t="s">
        <v>12</v>
      </c>
      <c r="C261" t="s">
        <v>68</v>
      </c>
      <c r="D261" t="s">
        <v>21</v>
      </c>
      <c r="E261">
        <v>2</v>
      </c>
      <c r="F261" s="1">
        <v>564</v>
      </c>
      <c r="G261" s="1">
        <v>1128</v>
      </c>
      <c r="H261" t="s">
        <v>15</v>
      </c>
    </row>
    <row r="262" spans="1:8">
      <c r="A262">
        <v>192</v>
      </c>
      <c r="B262" t="s">
        <v>146</v>
      </c>
      <c r="C262" t="s">
        <v>68</v>
      </c>
      <c r="D262" t="s">
        <v>21</v>
      </c>
      <c r="E262">
        <v>1</v>
      </c>
      <c r="F262" s="1">
        <v>1100</v>
      </c>
      <c r="G262" s="1">
        <v>1100</v>
      </c>
      <c r="H262" t="s">
        <v>15</v>
      </c>
    </row>
    <row r="263" spans="1:8">
      <c r="A263">
        <v>22</v>
      </c>
      <c r="B263" t="s">
        <v>45</v>
      </c>
      <c r="C263" t="s">
        <v>13</v>
      </c>
      <c r="D263" t="s">
        <v>14</v>
      </c>
      <c r="E263">
        <v>1</v>
      </c>
      <c r="F263" s="1">
        <v>1087</v>
      </c>
      <c r="G263" s="1">
        <v>1087</v>
      </c>
      <c r="H263" t="s">
        <v>11</v>
      </c>
    </row>
    <row r="264" spans="1:8">
      <c r="A264">
        <v>281</v>
      </c>
      <c r="B264" t="s">
        <v>127</v>
      </c>
      <c r="C264" t="s">
        <v>9</v>
      </c>
      <c r="D264" t="s">
        <v>10</v>
      </c>
      <c r="E264">
        <v>3</v>
      </c>
      <c r="F264" s="1">
        <v>360</v>
      </c>
      <c r="G264" s="1">
        <v>1080</v>
      </c>
      <c r="H264" t="s">
        <v>15</v>
      </c>
    </row>
    <row r="265" spans="1:8">
      <c r="A265">
        <v>252</v>
      </c>
      <c r="B265" t="s">
        <v>79</v>
      </c>
      <c r="C265" t="s">
        <v>31</v>
      </c>
      <c r="D265" t="s">
        <v>32</v>
      </c>
      <c r="E265">
        <v>2</v>
      </c>
      <c r="F265" s="1">
        <v>529</v>
      </c>
      <c r="G265" s="1">
        <v>1058</v>
      </c>
      <c r="H265" t="s">
        <v>22</v>
      </c>
    </row>
    <row r="266" spans="1:8">
      <c r="A266">
        <v>32</v>
      </c>
      <c r="B266" t="s">
        <v>55</v>
      </c>
      <c r="C266" t="s">
        <v>27</v>
      </c>
      <c r="D266" t="s">
        <v>10</v>
      </c>
      <c r="E266">
        <v>1</v>
      </c>
      <c r="F266" s="1">
        <v>1020</v>
      </c>
      <c r="G266" s="1">
        <v>1020</v>
      </c>
      <c r="H266" t="s">
        <v>22</v>
      </c>
    </row>
    <row r="267" spans="1:8">
      <c r="A267">
        <v>163</v>
      </c>
      <c r="B267" t="s">
        <v>128</v>
      </c>
      <c r="C267" t="s">
        <v>35</v>
      </c>
      <c r="D267" t="s">
        <v>32</v>
      </c>
      <c r="E267">
        <v>1</v>
      </c>
      <c r="F267" s="1">
        <v>1015</v>
      </c>
      <c r="G267" s="1">
        <v>1015</v>
      </c>
      <c r="H267" t="s">
        <v>22</v>
      </c>
    </row>
    <row r="268" spans="1:8">
      <c r="A268">
        <v>225</v>
      </c>
      <c r="B268" t="s">
        <v>194</v>
      </c>
      <c r="C268" t="s">
        <v>20</v>
      </c>
      <c r="D268" t="s">
        <v>21</v>
      </c>
      <c r="E268">
        <v>5</v>
      </c>
      <c r="F268" s="1">
        <v>203</v>
      </c>
      <c r="G268" s="1">
        <v>1015</v>
      </c>
      <c r="H268" t="s">
        <v>11</v>
      </c>
    </row>
    <row r="269" spans="1:8">
      <c r="A269">
        <v>271</v>
      </c>
      <c r="B269" t="s">
        <v>216</v>
      </c>
      <c r="C269" t="s">
        <v>13</v>
      </c>
      <c r="D269" t="s">
        <v>14</v>
      </c>
      <c r="E269">
        <v>5</v>
      </c>
      <c r="F269" s="1">
        <v>196</v>
      </c>
      <c r="G269" s="1">
        <v>980</v>
      </c>
      <c r="H269" t="s">
        <v>22</v>
      </c>
    </row>
    <row r="270" spans="1:8">
      <c r="A270">
        <v>6</v>
      </c>
      <c r="B270" t="s">
        <v>23</v>
      </c>
      <c r="C270" t="s">
        <v>24</v>
      </c>
      <c r="D270" t="s">
        <v>10</v>
      </c>
      <c r="E270">
        <v>2</v>
      </c>
      <c r="F270" s="1">
        <v>485</v>
      </c>
      <c r="G270" s="1">
        <v>970</v>
      </c>
      <c r="H270" t="s">
        <v>15</v>
      </c>
    </row>
    <row r="271" spans="1:8">
      <c r="A271">
        <v>253</v>
      </c>
      <c r="B271" t="s">
        <v>206</v>
      </c>
      <c r="C271" t="s">
        <v>9</v>
      </c>
      <c r="D271" t="s">
        <v>10</v>
      </c>
      <c r="E271">
        <v>1</v>
      </c>
      <c r="F271" s="1">
        <v>956</v>
      </c>
      <c r="G271" s="1">
        <v>956</v>
      </c>
      <c r="H271" t="s">
        <v>11</v>
      </c>
    </row>
    <row r="272" spans="1:8">
      <c r="A272">
        <v>119</v>
      </c>
      <c r="B272" t="s">
        <v>127</v>
      </c>
      <c r="C272" t="s">
        <v>9</v>
      </c>
      <c r="D272" t="s">
        <v>10</v>
      </c>
      <c r="E272">
        <v>4</v>
      </c>
      <c r="F272" s="1">
        <v>235</v>
      </c>
      <c r="G272" s="1">
        <v>940</v>
      </c>
      <c r="H272" t="s">
        <v>11</v>
      </c>
    </row>
    <row r="273" spans="1:8">
      <c r="A273">
        <v>86</v>
      </c>
      <c r="B273" t="s">
        <v>101</v>
      </c>
      <c r="C273" t="s">
        <v>40</v>
      </c>
      <c r="D273" t="s">
        <v>32</v>
      </c>
      <c r="E273">
        <v>1</v>
      </c>
      <c r="F273" s="1">
        <v>932</v>
      </c>
      <c r="G273" s="1">
        <v>932</v>
      </c>
      <c r="H273" t="s">
        <v>11</v>
      </c>
    </row>
    <row r="274" spans="1:8">
      <c r="A274">
        <v>296</v>
      </c>
      <c r="B274" t="s">
        <v>227</v>
      </c>
      <c r="C274" t="s">
        <v>37</v>
      </c>
      <c r="D274" t="s">
        <v>32</v>
      </c>
      <c r="E274">
        <v>1</v>
      </c>
      <c r="F274" s="1">
        <v>913</v>
      </c>
      <c r="G274" s="1">
        <v>913</v>
      </c>
      <c r="H274" t="s">
        <v>11</v>
      </c>
    </row>
    <row r="275" spans="1:8">
      <c r="A275">
        <v>62</v>
      </c>
      <c r="B275" t="s">
        <v>83</v>
      </c>
      <c r="C275" t="s">
        <v>20</v>
      </c>
      <c r="D275" t="s">
        <v>21</v>
      </c>
      <c r="E275">
        <v>1</v>
      </c>
      <c r="F275" s="1">
        <v>896</v>
      </c>
      <c r="G275" s="1">
        <v>896</v>
      </c>
      <c r="H275" t="s">
        <v>22</v>
      </c>
    </row>
    <row r="276" spans="1:8">
      <c r="A276">
        <v>265</v>
      </c>
      <c r="B276" t="s">
        <v>163</v>
      </c>
      <c r="C276" t="s">
        <v>35</v>
      </c>
      <c r="D276" t="s">
        <v>32</v>
      </c>
      <c r="E276">
        <v>5</v>
      </c>
      <c r="F276" s="1">
        <v>177</v>
      </c>
      <c r="G276" s="1">
        <v>885</v>
      </c>
      <c r="H276" t="s">
        <v>15</v>
      </c>
    </row>
    <row r="277" spans="1:8">
      <c r="A277">
        <v>19</v>
      </c>
      <c r="B277" t="s">
        <v>42</v>
      </c>
      <c r="C277" t="s">
        <v>20</v>
      </c>
      <c r="D277" t="s">
        <v>21</v>
      </c>
      <c r="E277">
        <v>2</v>
      </c>
      <c r="F277" s="1">
        <v>437</v>
      </c>
      <c r="G277" s="1">
        <v>874</v>
      </c>
      <c r="H277" t="s">
        <v>15</v>
      </c>
    </row>
    <row r="278" spans="1:8">
      <c r="A278">
        <v>10</v>
      </c>
      <c r="B278" t="s">
        <v>29</v>
      </c>
      <c r="C278" t="s">
        <v>24</v>
      </c>
      <c r="D278" t="s">
        <v>10</v>
      </c>
      <c r="E278">
        <v>5</v>
      </c>
      <c r="F278" s="1">
        <v>171</v>
      </c>
      <c r="G278" s="1">
        <v>855</v>
      </c>
      <c r="H278" t="s">
        <v>15</v>
      </c>
    </row>
    <row r="279" spans="1:8">
      <c r="A279">
        <v>164</v>
      </c>
      <c r="B279" t="s">
        <v>56</v>
      </c>
      <c r="C279" t="s">
        <v>9</v>
      </c>
      <c r="D279" t="s">
        <v>10</v>
      </c>
      <c r="E279">
        <v>3</v>
      </c>
      <c r="F279" s="1">
        <v>273</v>
      </c>
      <c r="G279" s="1">
        <v>819</v>
      </c>
      <c r="H279" t="s">
        <v>22</v>
      </c>
    </row>
    <row r="280" spans="1:8">
      <c r="A280">
        <v>223</v>
      </c>
      <c r="B280" t="s">
        <v>192</v>
      </c>
      <c r="C280" t="s">
        <v>13</v>
      </c>
      <c r="D280" t="s">
        <v>14</v>
      </c>
      <c r="E280">
        <v>1</v>
      </c>
      <c r="F280" s="1">
        <v>784</v>
      </c>
      <c r="G280" s="1">
        <v>784</v>
      </c>
      <c r="H280" t="s">
        <v>15</v>
      </c>
    </row>
    <row r="281" spans="1:8">
      <c r="A281">
        <v>209</v>
      </c>
      <c r="B281" t="s">
        <v>34</v>
      </c>
      <c r="C281" t="s">
        <v>68</v>
      </c>
      <c r="D281" t="s">
        <v>21</v>
      </c>
      <c r="E281">
        <v>2</v>
      </c>
      <c r="F281" s="1">
        <v>340</v>
      </c>
      <c r="G281" s="1">
        <v>680</v>
      </c>
      <c r="H281" t="s">
        <v>18</v>
      </c>
    </row>
    <row r="282" spans="1:8">
      <c r="A282">
        <v>279</v>
      </c>
      <c r="B282" t="s">
        <v>220</v>
      </c>
      <c r="C282" t="s">
        <v>31</v>
      </c>
      <c r="D282" t="s">
        <v>32</v>
      </c>
      <c r="E282">
        <v>2</v>
      </c>
      <c r="F282" s="1">
        <v>330</v>
      </c>
      <c r="G282" s="1">
        <v>660</v>
      </c>
      <c r="H282" t="s">
        <v>18</v>
      </c>
    </row>
    <row r="283" spans="1:8">
      <c r="A283">
        <v>127</v>
      </c>
      <c r="B283" t="s">
        <v>134</v>
      </c>
      <c r="C283" t="s">
        <v>37</v>
      </c>
      <c r="D283" t="s">
        <v>32</v>
      </c>
      <c r="E283">
        <v>5</v>
      </c>
      <c r="F283" s="1">
        <v>124</v>
      </c>
      <c r="G283" s="1">
        <v>620</v>
      </c>
      <c r="H283" t="s">
        <v>15</v>
      </c>
    </row>
    <row r="284" spans="1:8">
      <c r="A284">
        <v>21</v>
      </c>
      <c r="B284" t="s">
        <v>44</v>
      </c>
      <c r="C284" t="s">
        <v>27</v>
      </c>
      <c r="D284" t="s">
        <v>10</v>
      </c>
      <c r="E284">
        <v>4</v>
      </c>
      <c r="F284" s="1">
        <v>153</v>
      </c>
      <c r="G284" s="1">
        <v>612</v>
      </c>
      <c r="H284" t="s">
        <v>15</v>
      </c>
    </row>
    <row r="285" spans="1:8">
      <c r="A285">
        <v>18</v>
      </c>
      <c r="B285" t="s">
        <v>41</v>
      </c>
      <c r="C285" t="s">
        <v>27</v>
      </c>
      <c r="D285" t="s">
        <v>10</v>
      </c>
      <c r="E285">
        <v>1</v>
      </c>
      <c r="F285" s="1">
        <v>603</v>
      </c>
      <c r="G285" s="1">
        <v>603</v>
      </c>
      <c r="H285" t="s">
        <v>22</v>
      </c>
    </row>
    <row r="286" spans="1:8">
      <c r="A286">
        <v>249</v>
      </c>
      <c r="B286" t="s">
        <v>204</v>
      </c>
      <c r="C286" t="s">
        <v>27</v>
      </c>
      <c r="D286" t="s">
        <v>10</v>
      </c>
      <c r="E286">
        <v>2</v>
      </c>
      <c r="F286" s="1">
        <v>287</v>
      </c>
      <c r="G286" s="1">
        <v>574</v>
      </c>
      <c r="H286" t="s">
        <v>15</v>
      </c>
    </row>
    <row r="287" spans="1:8">
      <c r="A287">
        <v>103</v>
      </c>
      <c r="B287" t="s">
        <v>114</v>
      </c>
      <c r="C287" t="s">
        <v>35</v>
      </c>
      <c r="D287" t="s">
        <v>32</v>
      </c>
      <c r="E287">
        <v>5</v>
      </c>
      <c r="F287" s="1">
        <v>86</v>
      </c>
      <c r="G287" s="1">
        <v>430</v>
      </c>
      <c r="H287" t="s">
        <v>18</v>
      </c>
    </row>
    <row r="288" spans="1:8">
      <c r="A288">
        <v>175</v>
      </c>
      <c r="B288" t="s">
        <v>160</v>
      </c>
      <c r="C288" t="s">
        <v>31</v>
      </c>
      <c r="D288" t="s">
        <v>32</v>
      </c>
      <c r="E288">
        <v>5</v>
      </c>
      <c r="F288" s="1">
        <v>86</v>
      </c>
      <c r="G288" s="1">
        <v>430</v>
      </c>
      <c r="H288" t="s">
        <v>22</v>
      </c>
    </row>
    <row r="289" spans="1:8">
      <c r="A289">
        <v>202</v>
      </c>
      <c r="B289" t="s">
        <v>180</v>
      </c>
      <c r="C289" t="s">
        <v>13</v>
      </c>
      <c r="D289" t="s">
        <v>14</v>
      </c>
      <c r="E289">
        <v>2</v>
      </c>
      <c r="F289" s="1">
        <v>211</v>
      </c>
      <c r="G289" s="1">
        <v>422</v>
      </c>
      <c r="H289" t="s">
        <v>18</v>
      </c>
    </row>
    <row r="290" spans="1:8">
      <c r="A290">
        <v>160</v>
      </c>
      <c r="B290" t="s">
        <v>153</v>
      </c>
      <c r="C290" t="s">
        <v>9</v>
      </c>
      <c r="D290" t="s">
        <v>10</v>
      </c>
      <c r="E290">
        <v>1</v>
      </c>
      <c r="F290" s="1">
        <v>356</v>
      </c>
      <c r="G290" s="1">
        <v>356</v>
      </c>
      <c r="H290" t="s">
        <v>22</v>
      </c>
    </row>
    <row r="291" spans="1:8">
      <c r="A291">
        <v>274</v>
      </c>
      <c r="B291" t="s">
        <v>218</v>
      </c>
      <c r="C291" t="s">
        <v>68</v>
      </c>
      <c r="D291" t="s">
        <v>21</v>
      </c>
      <c r="E291">
        <v>1</v>
      </c>
      <c r="F291" s="1">
        <v>349</v>
      </c>
      <c r="G291" s="1">
        <v>349</v>
      </c>
      <c r="H291" t="s">
        <v>15</v>
      </c>
    </row>
    <row r="292" spans="1:8">
      <c r="A292">
        <v>82</v>
      </c>
      <c r="B292" t="s">
        <v>97</v>
      </c>
      <c r="C292" t="s">
        <v>35</v>
      </c>
      <c r="D292" t="s">
        <v>32</v>
      </c>
      <c r="E292">
        <v>1</v>
      </c>
      <c r="F292" s="1">
        <v>309</v>
      </c>
      <c r="G292" s="1">
        <v>309</v>
      </c>
      <c r="H292" t="s">
        <v>18</v>
      </c>
    </row>
    <row r="293" spans="1:8">
      <c r="A293">
        <v>49</v>
      </c>
      <c r="B293" t="s">
        <v>72</v>
      </c>
      <c r="C293" t="s">
        <v>68</v>
      </c>
      <c r="D293" t="s">
        <v>21</v>
      </c>
      <c r="E293">
        <v>1</v>
      </c>
      <c r="F293" s="1">
        <v>265</v>
      </c>
      <c r="G293" s="1">
        <v>265</v>
      </c>
      <c r="H293" t="s">
        <v>15</v>
      </c>
    </row>
    <row r="294" spans="1:8">
      <c r="A294">
        <v>179</v>
      </c>
      <c r="B294" t="s">
        <v>164</v>
      </c>
      <c r="C294" t="s">
        <v>9</v>
      </c>
      <c r="D294" t="s">
        <v>10</v>
      </c>
      <c r="E294">
        <v>1</v>
      </c>
      <c r="F294" s="1">
        <v>251</v>
      </c>
      <c r="G294" s="1">
        <v>251</v>
      </c>
      <c r="H294" t="s">
        <v>11</v>
      </c>
    </row>
    <row r="295" spans="1:8">
      <c r="A295">
        <v>84</v>
      </c>
      <c r="B295" t="s">
        <v>99</v>
      </c>
      <c r="C295" t="s">
        <v>68</v>
      </c>
      <c r="D295" t="s">
        <v>21</v>
      </c>
      <c r="E295">
        <v>2</v>
      </c>
      <c r="F295" s="1">
        <v>105</v>
      </c>
      <c r="G295" s="1">
        <v>210</v>
      </c>
      <c r="H295" t="s">
        <v>15</v>
      </c>
    </row>
    <row r="296" spans="1:8">
      <c r="A296">
        <v>298</v>
      </c>
      <c r="B296" t="s">
        <v>228</v>
      </c>
      <c r="C296" t="s">
        <v>37</v>
      </c>
      <c r="D296" t="s">
        <v>32</v>
      </c>
      <c r="E296">
        <v>1</v>
      </c>
      <c r="F296" s="1">
        <v>194</v>
      </c>
      <c r="G296" s="1">
        <v>194</v>
      </c>
      <c r="H296" t="s">
        <v>18</v>
      </c>
    </row>
    <row r="297" spans="1:8">
      <c r="A297">
        <v>129</v>
      </c>
      <c r="B297" t="s">
        <v>65</v>
      </c>
      <c r="C297" t="s">
        <v>37</v>
      </c>
      <c r="D297" t="s">
        <v>32</v>
      </c>
      <c r="E297">
        <v>3</v>
      </c>
      <c r="F297" s="1">
        <v>62</v>
      </c>
      <c r="G297" s="1">
        <v>186</v>
      </c>
      <c r="H297" t="s">
        <v>22</v>
      </c>
    </row>
    <row r="298" spans="1:8">
      <c r="A298">
        <v>151</v>
      </c>
      <c r="B298" t="s">
        <v>147</v>
      </c>
      <c r="C298" t="s">
        <v>31</v>
      </c>
      <c r="D298" t="s">
        <v>32</v>
      </c>
      <c r="E298">
        <v>3</v>
      </c>
      <c r="F298" s="1">
        <v>61</v>
      </c>
      <c r="G298" s="1">
        <v>183</v>
      </c>
      <c r="H298" t="s">
        <v>15</v>
      </c>
    </row>
    <row r="299" spans="1:8">
      <c r="A299">
        <v>286</v>
      </c>
      <c r="B299" t="s">
        <v>111</v>
      </c>
      <c r="C299" t="s">
        <v>13</v>
      </c>
      <c r="D299" t="s">
        <v>14</v>
      </c>
      <c r="E299">
        <v>3</v>
      </c>
      <c r="F299" s="1">
        <v>59</v>
      </c>
      <c r="G299" s="1">
        <v>177</v>
      </c>
      <c r="H299" t="s">
        <v>11</v>
      </c>
    </row>
    <row r="300" spans="1:8">
      <c r="A300">
        <v>67</v>
      </c>
      <c r="B300" t="s">
        <v>66</v>
      </c>
      <c r="C300" t="s">
        <v>35</v>
      </c>
      <c r="D300" t="s">
        <v>32</v>
      </c>
      <c r="E300">
        <v>2</v>
      </c>
      <c r="F300" s="1">
        <v>79</v>
      </c>
      <c r="G300" s="1">
        <v>158</v>
      </c>
      <c r="H300" t="s">
        <v>15</v>
      </c>
    </row>
    <row r="301" spans="1:8">
      <c r="A301">
        <v>297</v>
      </c>
      <c r="B301" t="s">
        <v>190</v>
      </c>
      <c r="C301" t="s">
        <v>68</v>
      </c>
      <c r="D301" t="s">
        <v>21</v>
      </c>
      <c r="E301">
        <v>1</v>
      </c>
      <c r="F301" s="1">
        <v>126</v>
      </c>
      <c r="G301" s="1">
        <v>126</v>
      </c>
      <c r="H301" t="s">
        <v>18</v>
      </c>
    </row>
    <row r="302" spans="1:8">
      <c r="A302" t="s">
        <v>230</v>
      </c>
      <c r="F302" s="4">
        <f>SUM(Tabela1[preco_unitario])</f>
        <v>607664</v>
      </c>
      <c r="G302" s="4">
        <f>SUM(Tabela1[valor_total])</f>
        <v>1781244</v>
      </c>
      <c r="H302">
        <f>SUBTOTAL(103,Tabela1[regiao])</f>
        <v>300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2789-079E-4A4C-A2D6-585A72762268}">
  <dimension ref="A2:X39"/>
  <sheetViews>
    <sheetView workbookViewId="0">
      <selection activeCell="K4" sqref="K4"/>
    </sheetView>
  </sheetViews>
  <sheetFormatPr defaultRowHeight="15"/>
  <cols>
    <col min="1" max="1" width="18" bestFit="1" customWidth="1"/>
    <col min="2" max="2" width="20.7109375" customWidth="1"/>
    <col min="3" max="3" width="13.7109375" customWidth="1"/>
    <col min="4" max="4" width="18" bestFit="1" customWidth="1"/>
    <col min="5" max="5" width="18.85546875" bestFit="1" customWidth="1"/>
    <col min="7" max="7" width="15.7109375" customWidth="1"/>
    <col min="8" max="8" width="25.7109375" customWidth="1"/>
    <col min="9" max="9" width="13.140625" customWidth="1"/>
    <col min="10" max="10" width="18.28515625" bestFit="1" customWidth="1"/>
    <col min="11" max="11" width="23.140625" bestFit="1" customWidth="1"/>
    <col min="16" max="16" width="18" bestFit="1" customWidth="1"/>
    <col min="17" max="17" width="18.85546875" bestFit="1" customWidth="1"/>
    <col min="21" max="22" width="18.85546875" bestFit="1" customWidth="1"/>
    <col min="23" max="23" width="18" bestFit="1" customWidth="1"/>
    <col min="24" max="24" width="18.85546875" bestFit="1" customWidth="1"/>
  </cols>
  <sheetData>
    <row r="2" spans="1:24" ht="15.75" thickBot="1">
      <c r="A2" t="s">
        <v>236</v>
      </c>
      <c r="B2" s="17" t="s">
        <v>237</v>
      </c>
      <c r="C2" t="s">
        <v>238</v>
      </c>
      <c r="G2" s="14" t="s">
        <v>231</v>
      </c>
      <c r="H2" t="s">
        <v>233</v>
      </c>
    </row>
    <row r="3" spans="1:24" ht="15.75" thickTop="1">
      <c r="A3" s="18">
        <f>SUM(Tabela1[valor_total])</f>
        <v>1781244</v>
      </c>
      <c r="B3" s="16">
        <v>300</v>
      </c>
      <c r="C3" s="3">
        <f>A3/B3</f>
        <v>5937.48</v>
      </c>
      <c r="G3" s="15" t="s">
        <v>22</v>
      </c>
      <c r="H3" s="16">
        <v>485681</v>
      </c>
    </row>
    <row r="4" spans="1:24">
      <c r="G4" s="15" t="s">
        <v>232</v>
      </c>
      <c r="H4" s="16">
        <v>485681</v>
      </c>
    </row>
    <row r="9" spans="1:24">
      <c r="W9" s="14" t="s">
        <v>231</v>
      </c>
      <c r="X9" t="s">
        <v>233</v>
      </c>
    </row>
    <row r="10" spans="1:24">
      <c r="J10" s="14" t="s">
        <v>231</v>
      </c>
      <c r="K10" t="s">
        <v>233</v>
      </c>
      <c r="W10" s="15" t="s">
        <v>22</v>
      </c>
      <c r="X10" s="16">
        <v>485681</v>
      </c>
    </row>
    <row r="11" spans="1:24">
      <c r="J11" s="15" t="s">
        <v>10</v>
      </c>
      <c r="K11" s="16">
        <v>180634</v>
      </c>
      <c r="W11" s="15" t="s">
        <v>232</v>
      </c>
      <c r="X11" s="16">
        <v>485681</v>
      </c>
    </row>
    <row r="12" spans="1:24">
      <c r="J12" s="15" t="s">
        <v>21</v>
      </c>
      <c r="K12" s="16">
        <v>99840</v>
      </c>
    </row>
    <row r="13" spans="1:24">
      <c r="J13" s="15" t="s">
        <v>14</v>
      </c>
      <c r="K13" s="16">
        <v>20758</v>
      </c>
    </row>
    <row r="14" spans="1:24">
      <c r="J14" s="15" t="s">
        <v>32</v>
      </c>
      <c r="K14" s="16">
        <v>184449</v>
      </c>
    </row>
    <row r="15" spans="1:24">
      <c r="J15" s="15" t="s">
        <v>232</v>
      </c>
      <c r="K15" s="16">
        <v>485681</v>
      </c>
    </row>
    <row r="22" spans="10:23">
      <c r="J22" t="s">
        <v>234</v>
      </c>
      <c r="K22" t="s">
        <v>235</v>
      </c>
      <c r="U22" s="5"/>
      <c r="V22" s="6"/>
      <c r="W22" s="7"/>
    </row>
    <row r="23" spans="10:23">
      <c r="J23" s="16">
        <v>11532</v>
      </c>
      <c r="K23" s="16">
        <v>75</v>
      </c>
      <c r="U23" s="8"/>
      <c r="V23" s="9"/>
      <c r="W23" s="10"/>
    </row>
    <row r="24" spans="10:23">
      <c r="U24" s="8"/>
      <c r="V24" s="9"/>
      <c r="W24" s="10"/>
    </row>
    <row r="25" spans="10:23">
      <c r="P25" s="14" t="s">
        <v>231</v>
      </c>
      <c r="Q25" t="s">
        <v>233</v>
      </c>
      <c r="U25" s="8"/>
      <c r="V25" s="9"/>
      <c r="W25" s="10"/>
    </row>
    <row r="26" spans="10:23">
      <c r="P26" s="15" t="s">
        <v>13</v>
      </c>
      <c r="Q26" s="16">
        <v>20758</v>
      </c>
      <c r="U26" s="8"/>
      <c r="V26" s="9"/>
      <c r="W26" s="10"/>
    </row>
    <row r="27" spans="10:23">
      <c r="P27" s="15" t="s">
        <v>24</v>
      </c>
      <c r="Q27" s="16">
        <v>78794</v>
      </c>
      <c r="U27" s="8"/>
      <c r="V27" s="9"/>
      <c r="W27" s="10"/>
    </row>
    <row r="28" spans="10:23">
      <c r="P28" s="15" t="s">
        <v>31</v>
      </c>
      <c r="Q28" s="16">
        <v>49242</v>
      </c>
      <c r="U28" s="8"/>
      <c r="V28" s="9"/>
      <c r="W28" s="10"/>
    </row>
    <row r="29" spans="10:23">
      <c r="P29" s="15" t="s">
        <v>68</v>
      </c>
      <c r="Q29" s="16">
        <v>32151</v>
      </c>
      <c r="U29" s="8"/>
      <c r="V29" s="9"/>
      <c r="W29" s="10"/>
    </row>
    <row r="30" spans="10:23">
      <c r="P30" s="15" t="s">
        <v>40</v>
      </c>
      <c r="Q30" s="16">
        <v>48146</v>
      </c>
      <c r="U30" s="8"/>
      <c r="V30" s="9"/>
      <c r="W30" s="10"/>
    </row>
    <row r="31" spans="10:23">
      <c r="P31" s="15" t="s">
        <v>20</v>
      </c>
      <c r="Q31" s="16">
        <v>67689</v>
      </c>
      <c r="U31" s="8"/>
      <c r="V31" s="9"/>
      <c r="W31" s="10"/>
    </row>
    <row r="32" spans="10:23">
      <c r="P32" s="15" t="s">
        <v>27</v>
      </c>
      <c r="Q32" s="16">
        <v>66584</v>
      </c>
      <c r="U32" s="8"/>
      <c r="V32" s="9"/>
      <c r="W32" s="10"/>
    </row>
    <row r="33" spans="16:23">
      <c r="P33" s="15" t="s">
        <v>9</v>
      </c>
      <c r="Q33" s="16">
        <v>35256</v>
      </c>
      <c r="U33" s="8"/>
      <c r="V33" s="9"/>
      <c r="W33" s="10"/>
    </row>
    <row r="34" spans="16:23">
      <c r="P34" s="15" t="s">
        <v>35</v>
      </c>
      <c r="Q34" s="16">
        <v>42270</v>
      </c>
      <c r="U34" s="8"/>
      <c r="V34" s="9"/>
      <c r="W34" s="10"/>
    </row>
    <row r="35" spans="16:23">
      <c r="P35" s="15" t="s">
        <v>37</v>
      </c>
      <c r="Q35" s="16">
        <v>44791</v>
      </c>
      <c r="U35" s="8"/>
      <c r="V35" s="9"/>
      <c r="W35" s="10"/>
    </row>
    <row r="36" spans="16:23">
      <c r="P36" s="15" t="s">
        <v>232</v>
      </c>
      <c r="Q36" s="3">
        <v>485681</v>
      </c>
      <c r="U36" s="8"/>
      <c r="V36" s="9"/>
      <c r="W36" s="10"/>
    </row>
    <row r="37" spans="16:23">
      <c r="U37" s="8"/>
      <c r="V37" s="9"/>
      <c r="W37" s="10"/>
    </row>
    <row r="38" spans="16:23">
      <c r="U38" s="8"/>
      <c r="V38" s="9"/>
      <c r="W38" s="10"/>
    </row>
    <row r="39" spans="16:23">
      <c r="U39" s="11"/>
      <c r="V39" s="12"/>
      <c r="W39" s="13"/>
    </row>
  </sheetData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0D1A-B13B-4935-8702-2EF125E02EA9}">
  <dimension ref="A1"/>
  <sheetViews>
    <sheetView showGridLines="0" workbookViewId="0">
      <selection activeCell="V30" sqref="V30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dados_vendas</vt:lpstr>
      <vt:lpstr>ANALISE DE DADOS</vt:lpstr>
      <vt:lpstr>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Auria  Tamiris de carvalho manoel</cp:lastModifiedBy>
  <dcterms:created xsi:type="dcterms:W3CDTF">2026-03-06T14:29:20Z</dcterms:created>
  <dcterms:modified xsi:type="dcterms:W3CDTF">2026-03-06T17:22:44Z</dcterms:modified>
</cp:coreProperties>
</file>